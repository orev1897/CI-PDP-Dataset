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Education/01. RESULTS/"/>
    </mc:Choice>
  </mc:AlternateContent>
  <xr:revisionPtr revIDLastSave="125" documentId="8_{111FB544-1306-4362-B0E3-67EFAEB17A15}" xr6:coauthVersionLast="47" xr6:coauthVersionMax="47" xr10:uidLastSave="{CADB2C74-7495-48F8-8A39-AC9B9E8DB30B}"/>
  <bookViews>
    <workbookView minimized="1" xWindow="3048" yWindow="2232" windowWidth="17280" windowHeight="8880" activeTab="4" xr2:uid="{8FD09F32-6554-4E25-AD72-3F8DEA4F3296}"/>
  </bookViews>
  <sheets>
    <sheet name="Codepolitan" sheetId="1" r:id="rId1"/>
    <sheet name="Ganesha" sheetId="2" r:id="rId2"/>
    <sheet name="RuangGuru" sheetId="3" r:id="rId3"/>
    <sheet name="Zenius" sheetId="4" r:id="rId4"/>
    <sheet name="aver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G16" i="5"/>
  <c r="H16" i="5"/>
  <c r="I16" i="5"/>
  <c r="J16" i="5"/>
  <c r="K16" i="5"/>
  <c r="L16" i="5"/>
  <c r="M16" i="5"/>
  <c r="B16" i="5"/>
  <c r="C8" i="5"/>
  <c r="D8" i="5"/>
  <c r="E8" i="5"/>
  <c r="F8" i="5"/>
  <c r="G8" i="5"/>
  <c r="H8" i="5"/>
  <c r="I8" i="5"/>
  <c r="J8" i="5"/>
  <c r="K8" i="5"/>
  <c r="L8" i="5"/>
  <c r="M8" i="5"/>
  <c r="B8" i="5"/>
  <c r="C4" i="5"/>
  <c r="D4" i="5"/>
  <c r="E4" i="5"/>
  <c r="F4" i="5"/>
  <c r="G4" i="5"/>
  <c r="H4" i="5"/>
  <c r="I4" i="5"/>
  <c r="J4" i="5"/>
  <c r="K4" i="5"/>
  <c r="L4" i="5"/>
  <c r="M4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B6" i="5"/>
  <c r="B7" i="5"/>
  <c r="B5" i="5"/>
  <c r="B4" i="5"/>
  <c r="N14" i="4"/>
  <c r="M14" i="4"/>
  <c r="L14" i="4"/>
  <c r="K14" i="4"/>
  <c r="J14" i="4"/>
  <c r="I14" i="4"/>
  <c r="H14" i="4"/>
  <c r="G14" i="4"/>
  <c r="F14" i="4"/>
  <c r="E14" i="4"/>
  <c r="D14" i="4"/>
  <c r="C14" i="4"/>
  <c r="N14" i="3"/>
  <c r="M14" i="3"/>
  <c r="L14" i="3"/>
  <c r="K14" i="3"/>
  <c r="J14" i="3"/>
  <c r="I14" i="3"/>
  <c r="H14" i="3"/>
  <c r="G14" i="3"/>
  <c r="F14" i="3"/>
  <c r="E14" i="3"/>
  <c r="D14" i="3"/>
  <c r="C14" i="3"/>
  <c r="N14" i="2"/>
  <c r="M14" i="2"/>
  <c r="L14" i="2"/>
  <c r="K14" i="2"/>
  <c r="J14" i="2"/>
  <c r="I14" i="2"/>
  <c r="H14" i="2"/>
  <c r="G14" i="2"/>
  <c r="F14" i="2"/>
  <c r="E14" i="2"/>
  <c r="D14" i="2"/>
  <c r="C14" i="2"/>
  <c r="D14" i="1"/>
  <c r="E14" i="1"/>
  <c r="F14" i="1"/>
  <c r="G14" i="1"/>
  <c r="H14" i="1"/>
  <c r="I14" i="1"/>
  <c r="J14" i="1"/>
  <c r="K14" i="1"/>
  <c r="L14" i="1"/>
  <c r="M14" i="1"/>
  <c r="N14" i="1"/>
  <c r="C14" i="1"/>
</calcChain>
</file>

<file path=xl/sharedStrings.xml><?xml version="1.0" encoding="utf-8"?>
<sst xmlns="http://schemas.openxmlformats.org/spreadsheetml/2006/main" count="160" uniqueCount="26">
  <si>
    <t>No</t>
  </si>
  <si>
    <t>Parameter</t>
  </si>
  <si>
    <t>Pengirim/pengendali data</t>
  </si>
  <si>
    <t>Penerima/prosesor data</t>
  </si>
  <si>
    <t>Subjek data</t>
  </si>
  <si>
    <t>Prinsip Transmisi</t>
  </si>
  <si>
    <t>Legalitas dari Pemrosesan Data Pribadi</t>
  </si>
  <si>
    <t>Tujuan Pemrosesan Data Pribadi</t>
  </si>
  <si>
    <t>Jenis dan Relevansi Data Pribadi yang akan diproses</t>
  </si>
  <si>
    <t>Jangka Waktu Retensi Dokumen yang Memuat Data Pribadi</t>
  </si>
  <si>
    <t>Rincian Mengenai Informasi yang Dikumpulkan</t>
  </si>
  <si>
    <t>Jangka Waktu Pemrosesan Data Pribadi</t>
  </si>
  <si>
    <t>Hak Subjek Data Pribadi</t>
  </si>
  <si>
    <t>Average</t>
  </si>
  <si>
    <t>ChatGPT</t>
  </si>
  <si>
    <t>Gemini</t>
  </si>
  <si>
    <t>Grok</t>
  </si>
  <si>
    <t>Perplexity</t>
  </si>
  <si>
    <t>Precision</t>
  </si>
  <si>
    <t>Recall</t>
  </si>
  <si>
    <t>F1-Score</t>
  </si>
  <si>
    <t>Codepolitan</t>
  </si>
  <si>
    <t>Ganesha</t>
  </si>
  <si>
    <t>Ruang Guru</t>
  </si>
  <si>
    <t>Zenius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</si>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</sst>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Macro Average</a:t>
            </a:r>
            <a:r>
              <a:rPr lang="en-ID" baseline="0"/>
              <a:t> Precision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Codepolitan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(average!$B$4,average!$E$4,average!$H$4,average!$K$4)</c:f>
              <c:numCache>
                <c:formatCode>0.00%</c:formatCode>
                <c:ptCount val="4"/>
                <c:pt idx="0">
                  <c:v>0.62885454545454555</c:v>
                </c:pt>
                <c:pt idx="1">
                  <c:v>0.55778181818181816</c:v>
                </c:pt>
                <c:pt idx="2">
                  <c:v>0.5300454545454546</c:v>
                </c:pt>
                <c:pt idx="3">
                  <c:v>0.62076363636363641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3-4663-B11A-4087F140C817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Ganesha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(average!$B$5,average!$E$5,average!$H$5,average!$K$5)</c:f>
              <c:numCache>
                <c:formatCode>0.00%</c:formatCode>
                <c:ptCount val="4"/>
                <c:pt idx="0">
                  <c:v>0.44925454545454541</c:v>
                </c:pt>
                <c:pt idx="1">
                  <c:v>0.35748181818181818</c:v>
                </c:pt>
                <c:pt idx="2">
                  <c:v>0.43173636363636364</c:v>
                </c:pt>
                <c:pt idx="3">
                  <c:v>0.41405454545454551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3-4663-B11A-4087F140C817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Ruang Guru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(average!$B$6,average!$E$6,average!$H$6,average!$K$6)</c:f>
              <c:numCache>
                <c:formatCode>0.00%</c:formatCode>
                <c:ptCount val="4"/>
                <c:pt idx="0">
                  <c:v>0.43425454545454545</c:v>
                </c:pt>
                <c:pt idx="1">
                  <c:v>0.34828181818181819</c:v>
                </c:pt>
                <c:pt idx="2">
                  <c:v>0.30640909090909091</c:v>
                </c:pt>
                <c:pt idx="3">
                  <c:v>0.34402727272727274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D3-4663-B11A-4087F140C817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Zenius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(average!$B$7,average!$E$7,average!$H$7,average!$K$7)</c:f>
              <c:numCache>
                <c:formatCode>0.00%</c:formatCode>
                <c:ptCount val="4"/>
                <c:pt idx="0">
                  <c:v>0.44768181818181818</c:v>
                </c:pt>
                <c:pt idx="1">
                  <c:v>0.44009090909090909</c:v>
                </c:pt>
                <c:pt idx="2">
                  <c:v>0.41843636363636366</c:v>
                </c:pt>
                <c:pt idx="3">
                  <c:v>0.24750000000000003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D3-4663-B11A-4087F140C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273519"/>
        <c:axId val="1063275439"/>
      </c:barChart>
      <c:catAx>
        <c:axId val="10632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75439"/>
        <c:crosses val="autoZero"/>
        <c:auto val="1"/>
        <c:lblAlgn val="ctr"/>
        <c:lblOffset val="100"/>
        <c:noMultiLvlLbl val="0"/>
      </c:catAx>
      <c:valAx>
        <c:axId val="106327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Macro Average</a:t>
            </a:r>
            <a:r>
              <a:rPr lang="en-ID" baseline="0"/>
              <a:t> F1-Score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Codepolitan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(average!$D$4,average!$G$4,average!$J$4,average!$M$4)</c:f>
              <c:numCache>
                <c:formatCode>0.00%</c:formatCode>
                <c:ptCount val="4"/>
                <c:pt idx="0">
                  <c:v>0.63136363636363635</c:v>
                </c:pt>
                <c:pt idx="1">
                  <c:v>0.58478181818181818</c:v>
                </c:pt>
                <c:pt idx="2">
                  <c:v>0.53648181818181817</c:v>
                </c:pt>
                <c:pt idx="3">
                  <c:v>0.62049090909090898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F-407F-8444-F4638FB5C95A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Ganesha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(average!$D$5,average!$G$5,average!$J$5,average!$M$5)</c:f>
              <c:numCache>
                <c:formatCode>0.00%</c:formatCode>
                <c:ptCount val="4"/>
                <c:pt idx="0">
                  <c:v>0.42195454545454542</c:v>
                </c:pt>
                <c:pt idx="1">
                  <c:v>0.34502727272727274</c:v>
                </c:pt>
                <c:pt idx="2">
                  <c:v>0.43164545454545455</c:v>
                </c:pt>
                <c:pt idx="3">
                  <c:v>0.43093636363636367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F-407F-8444-F4638FB5C95A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Ruang Guru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(average!$D$6,average!$G$6,average!$J$6,average!$M$6)</c:f>
              <c:numCache>
                <c:formatCode>0.00%</c:formatCode>
                <c:ptCount val="4"/>
                <c:pt idx="0">
                  <c:v>0.29628181818181815</c:v>
                </c:pt>
                <c:pt idx="1">
                  <c:v>0.33318181818181819</c:v>
                </c:pt>
                <c:pt idx="2">
                  <c:v>0.26181818181818184</c:v>
                </c:pt>
                <c:pt idx="3">
                  <c:v>0.20590909090909087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F-407F-8444-F4638FB5C95A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Zenius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(average!$D$7,average!$G$7,average!$J$7,average!$M$7)</c:f>
              <c:numCache>
                <c:formatCode>0.00%</c:formatCode>
                <c:ptCount val="4"/>
                <c:pt idx="0">
                  <c:v>0.33030000000000004</c:v>
                </c:pt>
                <c:pt idx="1">
                  <c:v>0.4577090909090909</c:v>
                </c:pt>
                <c:pt idx="2">
                  <c:v>0.33331818181818185</c:v>
                </c:pt>
                <c:pt idx="3">
                  <c:v>0.15786363636363634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DF-407F-8444-F4638FB5C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273519"/>
        <c:axId val="1063275439"/>
      </c:barChart>
      <c:catAx>
        <c:axId val="10632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75439"/>
        <c:crosses val="autoZero"/>
        <c:auto val="1"/>
        <c:lblAlgn val="ctr"/>
        <c:lblOffset val="100"/>
        <c:noMultiLvlLbl val="0"/>
      </c:catAx>
      <c:valAx>
        <c:axId val="106327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Macro Average</a:t>
            </a:r>
            <a:r>
              <a:rPr lang="en-ID" baseline="0"/>
              <a:t> Recall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average!$A$4</c:f>
              <c:strCache>
                <c:ptCount val="1"/>
                <c:pt idx="0">
                  <c:v>Codepolitan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average!$B$4:$M$4</c15:sqref>
                  </c15:fullRef>
                </c:ext>
              </c:extLst>
              <c:f>(average!$C$4,average!$F$4,average!$I$4,average!$L$4)</c:f>
              <c:numCache>
                <c:formatCode>0.00%</c:formatCode>
                <c:ptCount val="4"/>
                <c:pt idx="0">
                  <c:v>0.78313636363636363</c:v>
                </c:pt>
                <c:pt idx="1">
                  <c:v>0.63268181818181823</c:v>
                </c:pt>
                <c:pt idx="2">
                  <c:v>0.6101545454545455</c:v>
                </c:pt>
                <c:pt idx="3">
                  <c:v>0.78825454545454543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2-43D2-9B83-3333626A808E}"/>
            </c:ext>
          </c:extLst>
        </c:ser>
        <c:ser>
          <c:idx val="1"/>
          <c:order val="1"/>
          <c:tx>
            <c:strRef>
              <c:f>average!$A$5</c:f>
              <c:strCache>
                <c:ptCount val="1"/>
                <c:pt idx="0">
                  <c:v>Ganesha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average!$B$5:$M$5</c15:sqref>
                  </c15:fullRef>
                </c:ext>
              </c:extLst>
              <c:f>(average!$C$5,average!$F$5,average!$I$5,average!$L$5)</c:f>
              <c:numCache>
                <c:formatCode>0.00%</c:formatCode>
                <c:ptCount val="4"/>
                <c:pt idx="0">
                  <c:v>0.44565454545454541</c:v>
                </c:pt>
                <c:pt idx="1">
                  <c:v>0.46361818181818182</c:v>
                </c:pt>
                <c:pt idx="2">
                  <c:v>0.50515454545454552</c:v>
                </c:pt>
                <c:pt idx="3">
                  <c:v>0.52430909090909095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A2-43D2-9B83-3333626A808E}"/>
            </c:ext>
          </c:extLst>
        </c:ser>
        <c:ser>
          <c:idx val="2"/>
          <c:order val="2"/>
          <c:tx>
            <c:strRef>
              <c:f>average!$A$6</c:f>
              <c:strCache>
                <c:ptCount val="1"/>
                <c:pt idx="0">
                  <c:v>Ruang Guru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average!$B$6:$M$6</c15:sqref>
                  </c15:fullRef>
                </c:ext>
              </c:extLst>
              <c:f>(average!$C$6,average!$F$6,average!$I$6,average!$L$6)</c:f>
              <c:numCache>
                <c:formatCode>0.00%</c:formatCode>
                <c:ptCount val="4"/>
                <c:pt idx="0">
                  <c:v>0.39771818181818186</c:v>
                </c:pt>
                <c:pt idx="1">
                  <c:v>0.47699090909090908</c:v>
                </c:pt>
                <c:pt idx="2">
                  <c:v>0.42356363636363631</c:v>
                </c:pt>
                <c:pt idx="3">
                  <c:v>0.27365454545454548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A2-43D2-9B83-3333626A808E}"/>
            </c:ext>
          </c:extLst>
        </c:ser>
        <c:ser>
          <c:idx val="3"/>
          <c:order val="3"/>
          <c:tx>
            <c:strRef>
              <c:f>average!$A$7</c:f>
              <c:strCache>
                <c:ptCount val="1"/>
                <c:pt idx="0">
                  <c:v>Zenius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average!$B$7:$M$7</c15:sqref>
                  </c15:fullRef>
                </c:ext>
              </c:extLst>
              <c:f>(average!$C$7,average!$F$7,average!$I$7,average!$L$7)</c:f>
              <c:numCache>
                <c:formatCode>0.00%</c:formatCode>
                <c:ptCount val="4"/>
                <c:pt idx="0">
                  <c:v>0.50235454545454539</c:v>
                </c:pt>
                <c:pt idx="1">
                  <c:v>0.66881818181818187</c:v>
                </c:pt>
                <c:pt idx="2">
                  <c:v>0.49339090909090916</c:v>
                </c:pt>
                <c:pt idx="3">
                  <c:v>0.34518181818181815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A2-43D2-9B83-3333626A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273519"/>
        <c:axId val="1063275439"/>
      </c:barChart>
      <c:catAx>
        <c:axId val="10632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75439"/>
        <c:crosses val="autoZero"/>
        <c:auto val="1"/>
        <c:lblAlgn val="ctr"/>
        <c:lblOffset val="100"/>
        <c:noMultiLvlLbl val="0"/>
      </c:catAx>
      <c:valAx>
        <c:axId val="106327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2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average!$A$8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(average!$B$2:$B$3,average!$E$2:$E$3,average!$H$2:$H$3,average!$K$2:$K$3)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(average!$B$8,average!$E$8,average!$H$8,average!$K$8)</c:f>
              <c:numCache>
                <c:formatCode>0.00%</c:formatCode>
                <c:ptCount val="4"/>
                <c:pt idx="0">
                  <c:v>0.49001136363636366</c:v>
                </c:pt>
                <c:pt idx="1">
                  <c:v>0.4259090909090909</c:v>
                </c:pt>
                <c:pt idx="2">
                  <c:v>0.42165681818181822</c:v>
                </c:pt>
                <c:pt idx="3">
                  <c:v>0.40658636363636369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E-41A9-8334-47FE0A0317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391679"/>
        <c:axId val="2954022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average!$A$4</c15:sqref>
                        </c15:formulaRef>
                      </c:ext>
                    </c:extLst>
                    <c:strCache>
                      <c:ptCount val="1"/>
                      <c:pt idx="0">
                        <c:v>Codepolitan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average!$B$4:$M$4</c15:sqref>
                        </c15:fullRef>
                        <c15:formulaRef>
                          <c15:sqref>(average!$B$4,average!$E$4,average!$H$4,average!$K$4)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0.62885454545454555</c:v>
                      </c:pt>
                      <c:pt idx="1">
                        <c:v>0.55778181818181816</c:v>
                      </c:pt>
                      <c:pt idx="2">
                        <c:v>0.5300454545454546</c:v>
                      </c:pt>
                      <c:pt idx="3">
                        <c:v>0.62076363636363641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AE-41A9-8334-47FE0A0317C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average!$A$5</c15:sqref>
                        </c15:formulaRef>
                      </c:ext>
                    </c:extLst>
                    <c:strCache>
                      <c:ptCount val="1"/>
                      <c:pt idx="0">
                        <c:v>Ganesha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average!$B$5:$M$5</c15:sqref>
                        </c15:fullRef>
                        <c15:formulaRef>
                          <c15:sqref>(average!$B$5,average!$E$5,average!$H$5,average!$K$5)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0.44925454545454541</c:v>
                      </c:pt>
                      <c:pt idx="1">
                        <c:v>0.35748181818181818</c:v>
                      </c:pt>
                      <c:pt idx="2">
                        <c:v>0.43173636363636364</c:v>
                      </c:pt>
                      <c:pt idx="3">
                        <c:v>0.41405454545454551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2AE-41A9-8334-47FE0A0317C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average!$A$6</c15:sqref>
                        </c15:formulaRef>
                      </c:ext>
                    </c:extLst>
                    <c:strCache>
                      <c:ptCount val="1"/>
                      <c:pt idx="0">
                        <c:v>Ruang Guru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average!$B$6:$M$6</c15:sqref>
                        </c15:fullRef>
                        <c15:formulaRef>
                          <c15:sqref>(average!$B$6,average!$E$6,average!$H$6,average!$K$6)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0.43425454545454545</c:v>
                      </c:pt>
                      <c:pt idx="1">
                        <c:v>0.34828181818181819</c:v>
                      </c:pt>
                      <c:pt idx="2">
                        <c:v>0.30640909090909091</c:v>
                      </c:pt>
                      <c:pt idx="3">
                        <c:v>0.34402727272727274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2AE-41A9-8334-47FE0A0317C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average!$A$7</c15:sqref>
                        </c15:formulaRef>
                      </c:ext>
                    </c:extLst>
                    <c:strCache>
                      <c:ptCount val="1"/>
                      <c:pt idx="0">
                        <c:v>Zenius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(average!$B$2:$B$3,average!$E$2:$E$3,average!$H$2:$H$3,average!$K$2:$K$3)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average!$B$7:$M$7</c15:sqref>
                        </c15:fullRef>
                        <c15:formulaRef>
                          <c15:sqref>(average!$B$7,average!$E$7,average!$H$7,average!$K$7)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0.44768181818181818</c:v>
                      </c:pt>
                      <c:pt idx="1">
                        <c:v>0.44009090909090909</c:v>
                      </c:pt>
                      <c:pt idx="2">
                        <c:v>0.41843636363636366</c:v>
                      </c:pt>
                      <c:pt idx="3">
                        <c:v>0.24750000000000003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2AE-41A9-8334-47FE0A0317CC}"/>
                  </c:ext>
                </c:extLst>
              </c15:ser>
            </c15:filteredBarSeries>
          </c:ext>
        </c:extLst>
      </c:barChart>
      <c:catAx>
        <c:axId val="2953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02239"/>
        <c:crosses val="autoZero"/>
        <c:auto val="1"/>
        <c:lblAlgn val="ctr"/>
        <c:lblOffset val="100"/>
        <c:noMultiLvlLbl val="0"/>
      </c:catAx>
      <c:valAx>
        <c:axId val="2954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average!$A$16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average!$B$12:$M$13</c15:sqref>
                  </c15:fullRef>
                </c:ext>
              </c:extLst>
              <c:f>(average!$B$12:$B$13,average!$E$12:$E$13,average!$H$12:$H$13,average!$K$12:$K$13)</c:f>
              <c:multiLvlStrCache>
                <c:ptCount val="4"/>
                <c:lvl>
                  <c:pt idx="0">
                    <c:v>Precision</c:v>
                  </c:pt>
                  <c:pt idx="1">
                    <c:v>Precision</c:v>
                  </c:pt>
                  <c:pt idx="2">
                    <c:v>Precision</c:v>
                  </c:pt>
                  <c:pt idx="3">
                    <c:v>Precision</c:v>
                  </c:pt>
                </c:lvl>
                <c:lvl>
                  <c:pt idx="0">
                    <c:v>ChatGPT</c:v>
                  </c:pt>
                  <c:pt idx="1">
                    <c:v>Gemini</c:v>
                  </c:pt>
                  <c:pt idx="2">
                    <c:v>Grok</c:v>
                  </c:pt>
                  <c:pt idx="3">
                    <c:v>Perplexity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average!$B$16:$M$16</c15:sqref>
                  </c15:fullRef>
                </c:ext>
              </c:extLst>
              <c:f>(average!$B$16,average!$E$16,average!$H$16,average!$K$16)</c:f>
              <c:numCache>
                <c:formatCode>0.00%</c:formatCode>
                <c:ptCount val="4"/>
                <c:pt idx="0">
                  <c:v>0.53905454545454545</c:v>
                </c:pt>
                <c:pt idx="1">
                  <c:v>0.4576318181818182</c:v>
                </c:pt>
                <c:pt idx="2">
                  <c:v>0.48089090909090915</c:v>
                </c:pt>
                <c:pt idx="3">
                  <c:v>0.51740909090909093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81-4D77-B3B2-934605A388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423839"/>
        <c:axId val="295422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average!$A$14</c15:sqref>
                        </c15:formulaRef>
                      </c:ext>
                    </c:extLst>
                    <c:strCache>
                      <c:ptCount val="1"/>
                      <c:pt idx="0">
                        <c:v>Codepolitan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average!$B$12:$M$13</c15:sqref>
                        </c15:fullRef>
                        <c15:formulaRef>
                          <c15:sqref>(average!$B$12:$B$13,average!$E$12:$E$13,average!$H$12:$H$13,average!$K$12:$K$13)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average!$B$14:$M$14</c15:sqref>
                        </c15:fullRef>
                        <c15:formulaRef>
                          <c15:sqref>(average!$B$14,average!$E$14,average!$H$14,average!$K$14)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0.62885454545454555</c:v>
                      </c:pt>
                      <c:pt idx="1">
                        <c:v>0.55778181818181816</c:v>
                      </c:pt>
                      <c:pt idx="2">
                        <c:v>0.5300454545454546</c:v>
                      </c:pt>
                      <c:pt idx="3">
                        <c:v>0.62076363636363641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381-4D77-B3B2-934605A3883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average!$A$15</c15:sqref>
                        </c15:formulaRef>
                      </c:ext>
                    </c:extLst>
                    <c:strCache>
                      <c:ptCount val="1"/>
                      <c:pt idx="0">
                        <c:v>Ganesha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average!$B$12:$M$13</c15:sqref>
                        </c15:fullRef>
                        <c15:formulaRef>
                          <c15:sqref>(average!$B$12:$B$13,average!$E$12:$E$13,average!$H$12:$H$13,average!$K$12:$K$13)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Precision</c:v>
                        </c:pt>
                        <c:pt idx="1">
                          <c:v>Precision</c:v>
                        </c:pt>
                        <c:pt idx="2">
                          <c:v>Precision</c:v>
                        </c:pt>
                        <c:pt idx="3">
                          <c:v>Precision</c:v>
                        </c:pt>
                      </c:lvl>
                      <c:lvl>
                        <c:pt idx="0">
                          <c:v>ChatGPT</c:v>
                        </c:pt>
                        <c:pt idx="1">
                          <c:v>Gemini</c:v>
                        </c:pt>
                        <c:pt idx="2">
                          <c:v>Grok</c:v>
                        </c:pt>
                        <c:pt idx="3">
                          <c:v>Perplexity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average!$B$15:$M$15</c15:sqref>
                        </c15:fullRef>
                        <c15:formulaRef>
                          <c15:sqref>(average!$B$15,average!$E$15,average!$H$15,average!$K$15)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0.44925454545454541</c:v>
                      </c:pt>
                      <c:pt idx="1">
                        <c:v>0.35748181818181818</c:v>
                      </c:pt>
                      <c:pt idx="2">
                        <c:v>0.43173636363636364</c:v>
                      </c:pt>
                      <c:pt idx="3">
                        <c:v>0.41405454545454551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381-4D77-B3B2-934605A3883D}"/>
                  </c:ext>
                </c:extLst>
              </c15:ser>
            </c15:filteredBarSeries>
          </c:ext>
        </c:extLst>
      </c:barChart>
      <c:catAx>
        <c:axId val="29542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2879"/>
        <c:crosses val="autoZero"/>
        <c:auto val="1"/>
        <c:lblAlgn val="ctr"/>
        <c:lblOffset val="100"/>
        <c:noMultiLvlLbl val="0"/>
      </c:catAx>
      <c:valAx>
        <c:axId val="2954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average!$A$8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(average!$C$2:$C$3,average!$F$2:$F$3,average!$I$2:$I$3,average!$L$2:$L$3)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(average!$C$8,average!$F$8,average!$I$8,average!$L$8)</c:f>
              <c:numCache>
                <c:formatCode>0.00%</c:formatCode>
                <c:ptCount val="4"/>
                <c:pt idx="0">
                  <c:v>0.5322159090909091</c:v>
                </c:pt>
                <c:pt idx="1">
                  <c:v>0.56052727272727276</c:v>
                </c:pt>
                <c:pt idx="2">
                  <c:v>0.5080659090909091</c:v>
                </c:pt>
                <c:pt idx="3">
                  <c:v>0.48285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A-439E-A534-336A9808A4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391679"/>
        <c:axId val="2954022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average!$A$4</c15:sqref>
                        </c15:formulaRef>
                      </c:ext>
                    </c:extLst>
                    <c:strCache>
                      <c:ptCount val="1"/>
                      <c:pt idx="0">
                        <c:v>Codepolitan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average!$B$4:$M$4</c15:sqref>
                        </c15:fullRef>
                        <c15:formulaRef>
                          <c15:sqref>(average!$C$4,average!$F$4,average!$I$4,average!$L$4)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0.78313636363636363</c:v>
                      </c:pt>
                      <c:pt idx="1">
                        <c:v>0.63268181818181823</c:v>
                      </c:pt>
                      <c:pt idx="2">
                        <c:v>0.6101545454545455</c:v>
                      </c:pt>
                      <c:pt idx="3">
                        <c:v>0.78825454545454543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EBA-439E-A534-336A9808A4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average!$A$5</c15:sqref>
                        </c15:formulaRef>
                      </c:ext>
                    </c:extLst>
                    <c:strCache>
                      <c:ptCount val="1"/>
                      <c:pt idx="0">
                        <c:v>Ganesha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average!$B$5:$M$5</c15:sqref>
                        </c15:fullRef>
                        <c15:formulaRef>
                          <c15:sqref>(average!$C$5,average!$F$5,average!$I$5,average!$L$5)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0.44565454545454541</c:v>
                      </c:pt>
                      <c:pt idx="1">
                        <c:v>0.46361818181818182</c:v>
                      </c:pt>
                      <c:pt idx="2">
                        <c:v>0.50515454545454552</c:v>
                      </c:pt>
                      <c:pt idx="3">
                        <c:v>0.52430909090909095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EBA-439E-A534-336A9808A4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average!$A$6</c15:sqref>
                        </c15:formulaRef>
                      </c:ext>
                    </c:extLst>
                    <c:strCache>
                      <c:ptCount val="1"/>
                      <c:pt idx="0">
                        <c:v>Ruang Guru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average!$B$6:$M$6</c15:sqref>
                        </c15:fullRef>
                        <c15:formulaRef>
                          <c15:sqref>(average!$C$6,average!$F$6,average!$I$6,average!$L$6)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0.39771818181818186</c:v>
                      </c:pt>
                      <c:pt idx="1">
                        <c:v>0.47699090909090908</c:v>
                      </c:pt>
                      <c:pt idx="2">
                        <c:v>0.42356363636363631</c:v>
                      </c:pt>
                      <c:pt idx="3">
                        <c:v>0.27365454545454548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EBA-439E-A534-336A9808A4D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average!$A$7</c15:sqref>
                        </c15:formulaRef>
                      </c:ext>
                    </c:extLst>
                    <c:strCache>
                      <c:ptCount val="1"/>
                      <c:pt idx="0">
                        <c:v>Zenius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(average!$C$2:$C$3,average!$F$2:$F$3,average!$I$2:$I$3,average!$L$2:$L$3)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average!$B$7:$M$7</c15:sqref>
                        </c15:fullRef>
                        <c15:formulaRef>
                          <c15:sqref>(average!$C$7,average!$F$7,average!$I$7,average!$L$7)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0.50235454545454539</c:v>
                      </c:pt>
                      <c:pt idx="1">
                        <c:v>0.66881818181818187</c:v>
                      </c:pt>
                      <c:pt idx="2">
                        <c:v>0.49339090909090916</c:v>
                      </c:pt>
                      <c:pt idx="3">
                        <c:v>0.34518181818181815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EBA-439E-A534-336A9808A4D3}"/>
                  </c:ext>
                </c:extLst>
              </c15:ser>
            </c15:filteredBarSeries>
          </c:ext>
        </c:extLst>
      </c:barChart>
      <c:catAx>
        <c:axId val="2953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02239"/>
        <c:crosses val="autoZero"/>
        <c:auto val="1"/>
        <c:lblAlgn val="ctr"/>
        <c:lblOffset val="100"/>
        <c:noMultiLvlLbl val="0"/>
      </c:catAx>
      <c:valAx>
        <c:axId val="2954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average!$A$16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average!$B$12:$M$13</c15:sqref>
                  </c15:fullRef>
                </c:ext>
              </c:extLst>
              <c:f>(average!$C$12:$C$13,average!$F$12:$F$13,average!$I$12:$I$13,average!$L$12:$L$13)</c:f>
              <c:multiLvlStrCache>
                <c:ptCount val="4"/>
                <c:lvl>
                  <c:pt idx="0">
                    <c:v>Recall</c:v>
                  </c:pt>
                  <c:pt idx="1">
                    <c:v>Recall</c:v>
                  </c:pt>
                  <c:pt idx="2">
                    <c:v>Recall</c:v>
                  </c:pt>
                  <c:pt idx="3">
                    <c:v>Recall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average!$B$16:$M$16</c15:sqref>
                  </c15:fullRef>
                </c:ext>
              </c:extLst>
              <c:f>(average!$C$16,average!$F$16,average!$I$16,average!$L$16)</c:f>
              <c:numCache>
                <c:formatCode>0.00%</c:formatCode>
                <c:ptCount val="4"/>
                <c:pt idx="0">
                  <c:v>0.61439545454545452</c:v>
                </c:pt>
                <c:pt idx="1">
                  <c:v>0.54815000000000003</c:v>
                </c:pt>
                <c:pt idx="2">
                  <c:v>0.55765454545454551</c:v>
                </c:pt>
                <c:pt idx="3">
                  <c:v>0.65628181818181819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5-4463-81B9-8E13BD0B7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423839"/>
        <c:axId val="295422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average!$A$14</c15:sqref>
                        </c15:formulaRef>
                      </c:ext>
                    </c:extLst>
                    <c:strCache>
                      <c:ptCount val="1"/>
                      <c:pt idx="0">
                        <c:v>Codepolitan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average!$B$12:$M$13</c15:sqref>
                        </c15:fullRef>
                        <c15:formulaRef>
                          <c15:sqref>(average!$C$12:$C$13,average!$F$12:$F$13,average!$I$12:$I$13,average!$L$12:$L$13)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average!$B$14:$M$14</c15:sqref>
                        </c15:fullRef>
                        <c15:formulaRef>
                          <c15:sqref>(average!$C$14,average!$F$14,average!$I$14,average!$L$14)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0.78313636363636363</c:v>
                      </c:pt>
                      <c:pt idx="1">
                        <c:v>0.63268181818181823</c:v>
                      </c:pt>
                      <c:pt idx="2">
                        <c:v>0.6101545454545455</c:v>
                      </c:pt>
                      <c:pt idx="3">
                        <c:v>0.78825454545454543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CC5-4463-81B9-8E13BD0B738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average!$A$15</c15:sqref>
                        </c15:formulaRef>
                      </c:ext>
                    </c:extLst>
                    <c:strCache>
                      <c:ptCount val="1"/>
                      <c:pt idx="0">
                        <c:v>Ganesha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average!$B$12:$M$13</c15:sqref>
                        </c15:fullRef>
                        <c15:formulaRef>
                          <c15:sqref>(average!$C$12:$C$13,average!$F$12:$F$13,average!$I$12:$I$13,average!$L$12:$L$13)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Recall</c:v>
                        </c:pt>
                        <c:pt idx="1">
                          <c:v>Recall</c:v>
                        </c:pt>
                        <c:pt idx="2">
                          <c:v>Recall</c:v>
                        </c:pt>
                        <c:pt idx="3">
                          <c:v>Recall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average!$B$15:$M$15</c15:sqref>
                        </c15:fullRef>
                        <c15:formulaRef>
                          <c15:sqref>(average!$C$15,average!$F$15,average!$I$15,average!$L$15)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0.44565454545454541</c:v>
                      </c:pt>
                      <c:pt idx="1">
                        <c:v>0.46361818181818182</c:v>
                      </c:pt>
                      <c:pt idx="2">
                        <c:v>0.50515454545454552</c:v>
                      </c:pt>
                      <c:pt idx="3">
                        <c:v>0.52430909090909095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CC5-4463-81B9-8E13BD0B7383}"/>
                  </c:ext>
                </c:extLst>
              </c15:ser>
            </c15:filteredBarSeries>
          </c:ext>
        </c:extLst>
      </c:barChart>
      <c:catAx>
        <c:axId val="29542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2879"/>
        <c:crosses val="autoZero"/>
        <c:auto val="1"/>
        <c:lblAlgn val="ctr"/>
        <c:lblOffset val="100"/>
        <c:noMultiLvlLbl val="0"/>
      </c:catAx>
      <c:valAx>
        <c:axId val="2954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average!$A$8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average!$B$2:$M$3</c15:sqref>
                  </c15:fullRef>
                </c:ext>
              </c:extLst>
              <c:f>(average!$D$2:$D$3,average!$G$2:$G$3,average!$J$2:$J$3,average!$M$2:$M$3)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average!$B$8:$M$8</c15:sqref>
                  </c15:fullRef>
                </c:ext>
              </c:extLst>
              <c:f>(average!$D$8,average!$G$8,average!$J$8,average!$M$8)</c:f>
              <c:numCache>
                <c:formatCode>0.00%</c:formatCode>
                <c:ptCount val="4"/>
                <c:pt idx="0">
                  <c:v>0.41997499999999999</c:v>
                </c:pt>
                <c:pt idx="1">
                  <c:v>0.43017499999999997</c:v>
                </c:pt>
                <c:pt idx="2">
                  <c:v>0.39081590909090907</c:v>
                </c:pt>
                <c:pt idx="3">
                  <c:v>0.35379999999999995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D-4E13-957A-E68D2392A8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391679"/>
        <c:axId val="2954022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average!$A$4</c15:sqref>
                        </c15:formulaRef>
                      </c:ext>
                    </c:extLst>
                    <c:strCache>
                      <c:ptCount val="1"/>
                      <c:pt idx="0">
                        <c:v>Codepolitan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average!$B$4:$M$4</c15:sqref>
                        </c15:fullRef>
                        <c15:formulaRef>
                          <c15:sqref>(average!$D$4,average!$G$4,average!$J$4,average!$M$4)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0.63136363636363635</c:v>
                      </c:pt>
                      <c:pt idx="1">
                        <c:v>0.58478181818181818</c:v>
                      </c:pt>
                      <c:pt idx="2">
                        <c:v>0.53648181818181817</c:v>
                      </c:pt>
                      <c:pt idx="3">
                        <c:v>0.62049090909090898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6DD-4E13-957A-E68D2392A87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average!$A$5</c15:sqref>
                        </c15:formulaRef>
                      </c:ext>
                    </c:extLst>
                    <c:strCache>
                      <c:ptCount val="1"/>
                      <c:pt idx="0">
                        <c:v>Ganesha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average!$B$5:$M$5</c15:sqref>
                        </c15:fullRef>
                        <c15:formulaRef>
                          <c15:sqref>(average!$D$5,average!$G$5,average!$J$5,average!$M$5)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0.42195454545454542</c:v>
                      </c:pt>
                      <c:pt idx="1">
                        <c:v>0.34502727272727274</c:v>
                      </c:pt>
                      <c:pt idx="2">
                        <c:v>0.43164545454545455</c:v>
                      </c:pt>
                      <c:pt idx="3">
                        <c:v>0.43093636363636367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6DD-4E13-957A-E68D2392A87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average!$A$6</c15:sqref>
                        </c15:formulaRef>
                      </c:ext>
                    </c:extLst>
                    <c:strCache>
                      <c:ptCount val="1"/>
                      <c:pt idx="0">
                        <c:v>Ruang Guru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average!$B$6:$M$6</c15:sqref>
                        </c15:fullRef>
                        <c15:formulaRef>
                          <c15:sqref>(average!$D$6,average!$G$6,average!$J$6,average!$M$6)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0.29628181818181815</c:v>
                      </c:pt>
                      <c:pt idx="1">
                        <c:v>0.33318181818181819</c:v>
                      </c:pt>
                      <c:pt idx="2">
                        <c:v>0.26181818181818184</c:v>
                      </c:pt>
                      <c:pt idx="3">
                        <c:v>0.20590909090909087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6DD-4E13-957A-E68D2392A87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average!$A$7</c15:sqref>
                        </c15:formulaRef>
                      </c:ext>
                    </c:extLst>
                    <c:strCache>
                      <c:ptCount val="1"/>
                      <c:pt idx="0">
                        <c:v>Zenius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average!$B$2:$M$3</c15:sqref>
                        </c15:fullRef>
                        <c15:formulaRef>
                          <c15:sqref>(average!$D$2:$D$3,average!$G$2:$G$3,average!$J$2:$J$3,average!$M$2:$M$3)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average!$B$7:$M$7</c15:sqref>
                        </c15:fullRef>
                        <c15:formulaRef>
                          <c15:sqref>(average!$D$7,average!$G$7,average!$J$7,average!$M$7)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0.33030000000000004</c:v>
                      </c:pt>
                      <c:pt idx="1">
                        <c:v>0.4577090909090909</c:v>
                      </c:pt>
                      <c:pt idx="2">
                        <c:v>0.33331818181818185</c:v>
                      </c:pt>
                      <c:pt idx="3">
                        <c:v>0.15786363636363634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6DD-4E13-957A-E68D2392A870}"/>
                  </c:ext>
                </c:extLst>
              </c15:ser>
            </c15:filteredBarSeries>
          </c:ext>
        </c:extLst>
      </c:barChart>
      <c:catAx>
        <c:axId val="29539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02239"/>
        <c:crosses val="autoZero"/>
        <c:auto val="1"/>
        <c:lblAlgn val="ctr"/>
        <c:lblOffset val="100"/>
        <c:noMultiLvlLbl val="0"/>
      </c:catAx>
      <c:valAx>
        <c:axId val="29540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average!$A$16</c:f>
              <c:strCache>
                <c:ptCount val="1"/>
                <c:pt idx="0">
                  <c:v>overall average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average!$B$12:$M$13</c15:sqref>
                  </c15:fullRef>
                </c:ext>
              </c:extLst>
              <c:f>(average!$D$12:$D$13,average!$G$12:$G$13,average!$J$12:$J$13,average!$M$12:$M$13)</c:f>
              <c:multiLvlStrCache>
                <c:ptCount val="4"/>
                <c:lvl>
                  <c:pt idx="0">
                    <c:v>F1-Score</c:v>
                  </c:pt>
                  <c:pt idx="1">
                    <c:v>F1-Score</c:v>
                  </c:pt>
                  <c:pt idx="2">
                    <c:v>F1-Score</c:v>
                  </c:pt>
                  <c:pt idx="3">
                    <c:v>F1-Score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average!$B$16:$M$16</c15:sqref>
                  </c15:fullRef>
                </c:ext>
              </c:extLst>
              <c:f>(average!$D$16,average!$G$16,average!$J$16,average!$M$16)</c:f>
              <c:numCache>
                <c:formatCode>0.00%</c:formatCode>
                <c:ptCount val="4"/>
                <c:pt idx="0">
                  <c:v>0.52665909090909091</c:v>
                </c:pt>
                <c:pt idx="1">
                  <c:v>0.46490454545454546</c:v>
                </c:pt>
                <c:pt idx="2">
                  <c:v>0.48406363636363636</c:v>
                </c:pt>
                <c:pt idx="3">
                  <c:v>0.52571363636363633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A-4C7E-954C-A79FCB409E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5423839"/>
        <c:axId val="295422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average!$A$14</c15:sqref>
                        </c15:formulaRef>
                      </c:ext>
                    </c:extLst>
                    <c:strCache>
                      <c:ptCount val="1"/>
                      <c:pt idx="0">
                        <c:v>Codepolitan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average!$B$12:$M$13</c15:sqref>
                        </c15:fullRef>
                        <c15:formulaRef>
                          <c15:sqref>(average!$D$12:$D$13,average!$G$12:$G$13,average!$J$12:$J$13,average!$M$12:$M$13)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average!$B$14:$M$14</c15:sqref>
                        </c15:fullRef>
                        <c15:formulaRef>
                          <c15:sqref>(average!$D$14,average!$G$14,average!$J$14,average!$M$14)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0.63136363636363635</c:v>
                      </c:pt>
                      <c:pt idx="1">
                        <c:v>0.58478181818181818</c:v>
                      </c:pt>
                      <c:pt idx="2">
                        <c:v>0.53648181818181817</c:v>
                      </c:pt>
                      <c:pt idx="3">
                        <c:v>0.62049090909090898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64A-4C7E-954C-A79FCB409EB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average!$A$15</c15:sqref>
                        </c15:formulaRef>
                      </c:ext>
                    </c:extLst>
                    <c:strCache>
                      <c:ptCount val="1"/>
                      <c:pt idx="0">
                        <c:v>Ganesha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average!$B$12:$M$13</c15:sqref>
                        </c15:fullRef>
                        <c15:formulaRef>
                          <c15:sqref>(average!$D$12:$D$13,average!$G$12:$G$13,average!$J$12:$J$13,average!$M$12:$M$13)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F1-Score</c:v>
                        </c:pt>
                        <c:pt idx="1">
                          <c:v>F1-Score</c:v>
                        </c:pt>
                        <c:pt idx="2">
                          <c:v>F1-Score</c:v>
                        </c:pt>
                        <c:pt idx="3">
                          <c:v>F1-Score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average!$B$15:$M$15</c15:sqref>
                        </c15:fullRef>
                        <c15:formulaRef>
                          <c15:sqref>(average!$D$15,average!$G$15,average!$J$15,average!$M$15)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0.42195454545454542</c:v>
                      </c:pt>
                      <c:pt idx="1">
                        <c:v>0.34502727272727274</c:v>
                      </c:pt>
                      <c:pt idx="2">
                        <c:v>0.43164545454545455</c:v>
                      </c:pt>
                      <c:pt idx="3">
                        <c:v>0.43093636363636367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64A-4C7E-954C-A79FCB409EBC}"/>
                  </c:ext>
                </c:extLst>
              </c15:ser>
            </c15:filteredBarSeries>
          </c:ext>
        </c:extLst>
      </c:barChart>
      <c:catAx>
        <c:axId val="29542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2879"/>
        <c:crosses val="autoZero"/>
        <c:auto val="1"/>
        <c:lblAlgn val="ctr"/>
        <c:lblOffset val="100"/>
        <c:noMultiLvlLbl val="0"/>
      </c:catAx>
      <c:valAx>
        <c:axId val="2954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2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480060</xdr:colOff>
      <xdr:row>3</xdr:row>
      <xdr:rowOff>34290</xdr:rowOff>
    </xdr:from>
    <xdr:to>
      <xdr:col>24</xdr:col>
      <xdr:colOff>175260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D1E14-83F9-9D29-2A32-DCA3C387B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236220</xdr:colOff>
      <xdr:row>36</xdr:row>
      <xdr:rowOff>114300</xdr:rowOff>
    </xdr:from>
    <xdr:to>
      <xdr:col>24</xdr:col>
      <xdr:colOff>541020</xdr:colOff>
      <xdr:row>51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8BF4D6-A4C5-4C6B-844C-8B9A3B6DA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518160</xdr:colOff>
      <xdr:row>19</xdr:row>
      <xdr:rowOff>106680</xdr:rowOff>
    </xdr:from>
    <xdr:to>
      <xdr:col>24</xdr:col>
      <xdr:colOff>213360</xdr:colOff>
      <xdr:row>34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417B3A-D1CC-4B78-BA7B-3F7F26EF2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68580</xdr:colOff>
      <xdr:row>18</xdr:row>
      <xdr:rowOff>22860</xdr:rowOff>
    </xdr:from>
    <xdr:to>
      <xdr:col>7</xdr:col>
      <xdr:colOff>83820</xdr:colOff>
      <xdr:row>33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E603CE-79CA-1945-2BC8-C214345A1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419100</xdr:colOff>
      <xdr:row>18</xdr:row>
      <xdr:rowOff>38100</xdr:rowOff>
    </xdr:from>
    <xdr:to>
      <xdr:col>15</xdr:col>
      <xdr:colOff>114300</xdr:colOff>
      <xdr:row>33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CD6833-107E-1B63-C847-AF879EB34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7</xdr:col>
      <xdr:colOff>15240</xdr:colOff>
      <xdr:row>52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E4327E-6FD0-4140-83C9-2C9854EE7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350520</xdr:colOff>
      <xdr:row>37</xdr:row>
      <xdr:rowOff>15240</xdr:rowOff>
    </xdr:from>
    <xdr:to>
      <xdr:col>15</xdr:col>
      <xdr:colOff>45720</xdr:colOff>
      <xdr:row>52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1ED22D-3F97-4591-9D3F-26A6AC812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7</xdr:col>
      <xdr:colOff>15240</xdr:colOff>
      <xdr:row>72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014561-7B75-4E94-82B9-A41522C21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350520</xdr:colOff>
      <xdr:row>57</xdr:row>
      <xdr:rowOff>15240</xdr:rowOff>
    </xdr:from>
    <xdr:to>
      <xdr:col>15</xdr:col>
      <xdr:colOff>45720</xdr:colOff>
      <xdr:row>72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DF4910-1B85-4D94-B627-D1EECE5EC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4080-9216-41F8-8747-5B134773AF1D}">
  <dimension ref="A1:N14"/>
  <sheetViews>
    <sheetView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0.1</v>
      </c>
      <c r="D3" s="1">
        <v>1</v>
      </c>
      <c r="E3" s="1">
        <v>0.18179999999999999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3.0300000000000001E-2</v>
      </c>
      <c r="M3" s="1">
        <v>1</v>
      </c>
      <c r="N3" s="1">
        <v>5.8799999999999998E-2</v>
      </c>
    </row>
    <row r="4" spans="1:14" x14ac:dyDescent="0.3">
      <c r="A4">
        <v>2</v>
      </c>
      <c r="B4" t="s">
        <v>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</row>
    <row r="5" spans="1:14" x14ac:dyDescent="0.3">
      <c r="A5">
        <v>3</v>
      </c>
      <c r="B5" t="s">
        <v>4</v>
      </c>
      <c r="C5" s="1">
        <v>4.3499999999999997E-2</v>
      </c>
      <c r="D5" s="1">
        <v>1</v>
      </c>
      <c r="E5" s="1">
        <v>8.3299999999999999E-2</v>
      </c>
      <c r="F5" s="1">
        <v>0</v>
      </c>
      <c r="G5" s="1">
        <v>0</v>
      </c>
      <c r="H5" s="1">
        <v>0</v>
      </c>
      <c r="I5" s="1">
        <v>0.1</v>
      </c>
      <c r="J5" s="1">
        <v>1</v>
      </c>
      <c r="K5" s="1">
        <v>0.18179999999999999</v>
      </c>
      <c r="L5" s="1">
        <v>2.7799999999999998E-2</v>
      </c>
      <c r="M5" s="1">
        <v>1</v>
      </c>
      <c r="N5" s="1">
        <v>5.4100000000000002E-2</v>
      </c>
    </row>
    <row r="6" spans="1:14" x14ac:dyDescent="0.3">
      <c r="A6">
        <v>4</v>
      </c>
      <c r="B6" t="s">
        <v>5</v>
      </c>
      <c r="C6" s="1">
        <v>1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</row>
    <row r="8" spans="1:14" x14ac:dyDescent="0.3">
      <c r="A8">
        <v>6</v>
      </c>
      <c r="B8" t="s">
        <v>7</v>
      </c>
      <c r="C8" s="1">
        <v>1</v>
      </c>
      <c r="D8" s="1">
        <v>1</v>
      </c>
      <c r="E8" s="1">
        <v>1</v>
      </c>
      <c r="F8" s="1">
        <v>0.51219999999999999</v>
      </c>
      <c r="G8" s="1">
        <v>1</v>
      </c>
      <c r="H8" s="1">
        <v>0.6774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</row>
    <row r="9" spans="1:14" x14ac:dyDescent="0.3">
      <c r="A9">
        <v>7</v>
      </c>
      <c r="B9" t="s">
        <v>8</v>
      </c>
      <c r="C9" s="1">
        <v>0.40429999999999999</v>
      </c>
      <c r="D9" s="1">
        <v>0.2676</v>
      </c>
      <c r="E9" s="1">
        <v>0.32200000000000001</v>
      </c>
      <c r="F9" s="1">
        <v>0.28160000000000002</v>
      </c>
      <c r="G9" s="1">
        <v>0.40849999999999997</v>
      </c>
      <c r="H9" s="1">
        <v>0.33329999999999999</v>
      </c>
      <c r="I9" s="1">
        <v>0.36509999999999998</v>
      </c>
      <c r="J9" s="1">
        <v>0.32390000000000002</v>
      </c>
      <c r="K9" s="1">
        <v>0.34329999999999999</v>
      </c>
      <c r="L9" s="1">
        <v>0.31080000000000002</v>
      </c>
      <c r="M9" s="1">
        <v>0.32390000000000002</v>
      </c>
      <c r="N9" s="1">
        <v>0.31719999999999998</v>
      </c>
    </row>
    <row r="10" spans="1:14" x14ac:dyDescent="0.3">
      <c r="A10">
        <v>8</v>
      </c>
      <c r="B10" t="s">
        <v>9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</row>
    <row r="11" spans="1:14" x14ac:dyDescent="0.3">
      <c r="A11">
        <v>9</v>
      </c>
      <c r="B11" t="s">
        <v>10</v>
      </c>
      <c r="C11" s="1">
        <v>0.36959999999999998</v>
      </c>
      <c r="D11" s="1">
        <v>0.34689999999999999</v>
      </c>
      <c r="E11" s="1">
        <v>0.3579</v>
      </c>
      <c r="F11" s="1">
        <v>0.34179999999999999</v>
      </c>
      <c r="G11" s="1">
        <v>0.55100000000000005</v>
      </c>
      <c r="H11" s="1">
        <v>0.4219</v>
      </c>
      <c r="I11" s="1">
        <v>0.3654</v>
      </c>
      <c r="J11" s="1">
        <v>0.38779999999999998</v>
      </c>
      <c r="K11" s="1">
        <v>0.37619999999999998</v>
      </c>
      <c r="L11" s="1">
        <v>0.45950000000000002</v>
      </c>
      <c r="M11" s="1">
        <v>0.34689999999999999</v>
      </c>
      <c r="N11" s="1">
        <v>0.39529999999999998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</row>
    <row r="14" spans="1:14" x14ac:dyDescent="0.3">
      <c r="A14" s="5" t="s">
        <v>13</v>
      </c>
      <c r="B14" s="5"/>
      <c r="C14" s="4">
        <f>AVERAGE(C3:C13)</f>
        <v>0.62885454545454555</v>
      </c>
      <c r="D14" s="4">
        <f t="shared" ref="D14:N14" si="0">AVERAGE(D3:D13)</f>
        <v>0.78313636363636363</v>
      </c>
      <c r="E14" s="4">
        <f t="shared" si="0"/>
        <v>0.63136363636363635</v>
      </c>
      <c r="F14" s="4">
        <f t="shared" si="0"/>
        <v>0.55778181818181816</v>
      </c>
      <c r="G14" s="4">
        <f t="shared" si="0"/>
        <v>0.63268181818181823</v>
      </c>
      <c r="H14" s="4">
        <f t="shared" si="0"/>
        <v>0.58478181818181818</v>
      </c>
      <c r="I14" s="4">
        <f t="shared" si="0"/>
        <v>0.5300454545454546</v>
      </c>
      <c r="J14" s="4">
        <f t="shared" si="0"/>
        <v>0.6101545454545455</v>
      </c>
      <c r="K14" s="4">
        <f t="shared" si="0"/>
        <v>0.53648181818181817</v>
      </c>
      <c r="L14" s="4">
        <f t="shared" si="0"/>
        <v>0.62076363636363641</v>
      </c>
      <c r="M14" s="4">
        <f t="shared" si="0"/>
        <v>0.78825454545454543</v>
      </c>
      <c r="N14" s="4">
        <f t="shared" si="0"/>
        <v>0.62049090909090898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0E04-59DC-4529-BF8E-ECB21C3D0BFF}">
  <dimension ref="A1:N14"/>
  <sheetViews>
    <sheetView topLeftCell="B4" workbookViewId="0">
      <selection activeCell="C14" sqref="C14:N14"/>
    </sheetView>
  </sheetViews>
  <sheetFormatPr defaultRowHeight="14.4" x14ac:dyDescent="0.3"/>
  <cols>
    <col min="1" max="1" width="3.33203125" bestFit="1" customWidth="1"/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0.36359999999999998</v>
      </c>
      <c r="D3" s="1">
        <v>1</v>
      </c>
      <c r="E3" s="1">
        <v>0.5333</v>
      </c>
      <c r="F3" s="1">
        <v>0.57140000000000002</v>
      </c>
      <c r="G3" s="1">
        <v>1</v>
      </c>
      <c r="H3" s="1">
        <v>0.72729999999999995</v>
      </c>
      <c r="I3" s="1">
        <v>0.16669999999999999</v>
      </c>
      <c r="J3" s="1">
        <v>1</v>
      </c>
      <c r="K3" s="1">
        <v>0.28570000000000001</v>
      </c>
      <c r="L3" s="1">
        <v>0.1905</v>
      </c>
      <c r="M3" s="1">
        <v>1</v>
      </c>
      <c r="N3" s="1">
        <v>0.32</v>
      </c>
    </row>
    <row r="4" spans="1:14" x14ac:dyDescent="0.3">
      <c r="A4">
        <v>2</v>
      </c>
      <c r="B4" t="s">
        <v>3</v>
      </c>
      <c r="C4" s="1">
        <v>1</v>
      </c>
      <c r="D4" s="1">
        <v>0.6</v>
      </c>
      <c r="E4" s="1">
        <v>0.75</v>
      </c>
      <c r="F4" s="1">
        <v>1</v>
      </c>
      <c r="G4" s="1">
        <v>0.35560000000000003</v>
      </c>
      <c r="H4" s="1">
        <v>0.52459999999999996</v>
      </c>
      <c r="I4" s="1">
        <v>0.9375</v>
      </c>
      <c r="J4" s="1">
        <v>1</v>
      </c>
      <c r="K4" s="1">
        <v>0.9677</v>
      </c>
      <c r="L4" s="1">
        <v>1</v>
      </c>
      <c r="M4" s="1">
        <v>1</v>
      </c>
      <c r="N4" s="1">
        <v>1</v>
      </c>
    </row>
    <row r="5" spans="1:14" x14ac:dyDescent="0.3">
      <c r="A5">
        <v>3</v>
      </c>
      <c r="B5" t="s">
        <v>4</v>
      </c>
      <c r="C5" s="1">
        <v>0</v>
      </c>
      <c r="D5" s="1">
        <v>0</v>
      </c>
      <c r="E5" s="1">
        <v>0</v>
      </c>
      <c r="F5" s="1">
        <v>0.1111</v>
      </c>
      <c r="G5" s="1">
        <v>1</v>
      </c>
      <c r="H5" s="1">
        <v>0.2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3">
      <c r="A8">
        <v>6</v>
      </c>
      <c r="B8" t="s">
        <v>7</v>
      </c>
      <c r="C8" s="1">
        <v>0.12820000000000001</v>
      </c>
      <c r="D8" s="1">
        <v>0.3125</v>
      </c>
      <c r="E8" s="1">
        <v>0.18179999999999999</v>
      </c>
      <c r="F8" s="1">
        <v>8.6999999999999994E-2</v>
      </c>
      <c r="G8" s="1">
        <v>0.5</v>
      </c>
      <c r="H8" s="1">
        <v>0.14810000000000001</v>
      </c>
      <c r="I8" s="1">
        <v>0.10639999999999999</v>
      </c>
      <c r="J8" s="1">
        <v>0.3125</v>
      </c>
      <c r="K8" s="1">
        <v>0.15870000000000001</v>
      </c>
      <c r="L8" s="1">
        <v>8.6999999999999994E-2</v>
      </c>
      <c r="M8" s="1">
        <v>0.5</v>
      </c>
      <c r="N8" s="1">
        <v>0.14810000000000001</v>
      </c>
    </row>
    <row r="9" spans="1:14" x14ac:dyDescent="0.3">
      <c r="A9">
        <v>7</v>
      </c>
      <c r="B9" t="s">
        <v>8</v>
      </c>
      <c r="C9" s="1">
        <v>0.45</v>
      </c>
      <c r="D9" s="1">
        <v>0.314</v>
      </c>
      <c r="E9" s="1">
        <v>0.36990000000000001</v>
      </c>
      <c r="F9" s="1">
        <v>0.1628</v>
      </c>
      <c r="G9" s="1">
        <v>0.2442</v>
      </c>
      <c r="H9" s="1">
        <v>0.1953</v>
      </c>
      <c r="I9" s="1">
        <v>0.53849999999999998</v>
      </c>
      <c r="J9" s="1">
        <v>0.2442</v>
      </c>
      <c r="K9" s="1">
        <v>0.33600000000000002</v>
      </c>
      <c r="L9" s="1">
        <v>0.27710000000000001</v>
      </c>
      <c r="M9" s="1">
        <v>0.26740000000000003</v>
      </c>
      <c r="N9" s="1">
        <v>0.2722</v>
      </c>
    </row>
    <row r="10" spans="1:14" x14ac:dyDescent="0.3">
      <c r="A10">
        <v>8</v>
      </c>
      <c r="B10" t="s">
        <v>9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</row>
    <row r="13" spans="1:14" x14ac:dyDescent="0.3">
      <c r="A13">
        <v>11</v>
      </c>
      <c r="B13" t="s">
        <v>12</v>
      </c>
      <c r="C13" s="1">
        <v>1</v>
      </c>
      <c r="D13" s="1">
        <v>0.67569999999999997</v>
      </c>
      <c r="E13" s="1">
        <v>0.80649999999999999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</row>
    <row r="14" spans="1:14" x14ac:dyDescent="0.3">
      <c r="A14" s="5" t="s">
        <v>13</v>
      </c>
      <c r="B14" s="5"/>
      <c r="C14" s="4">
        <f>AVERAGE(C3:C13)</f>
        <v>0.44925454545454541</v>
      </c>
      <c r="D14" s="4">
        <f t="shared" ref="D14:N14" si="0">AVERAGE(D3:D13)</f>
        <v>0.44565454545454541</v>
      </c>
      <c r="E14" s="4">
        <f t="shared" si="0"/>
        <v>0.42195454545454542</v>
      </c>
      <c r="F14" s="4">
        <f t="shared" si="0"/>
        <v>0.35748181818181818</v>
      </c>
      <c r="G14" s="4">
        <f t="shared" si="0"/>
        <v>0.46361818181818182</v>
      </c>
      <c r="H14" s="4">
        <f t="shared" si="0"/>
        <v>0.34502727272727274</v>
      </c>
      <c r="I14" s="4">
        <f t="shared" si="0"/>
        <v>0.43173636363636364</v>
      </c>
      <c r="J14" s="4">
        <f t="shared" si="0"/>
        <v>0.50515454545454552</v>
      </c>
      <c r="K14" s="4">
        <f t="shared" si="0"/>
        <v>0.43164545454545455</v>
      </c>
      <c r="L14" s="4">
        <f t="shared" si="0"/>
        <v>0.41405454545454551</v>
      </c>
      <c r="M14" s="4">
        <f t="shared" si="0"/>
        <v>0.52430909090909095</v>
      </c>
      <c r="N14" s="4">
        <f t="shared" si="0"/>
        <v>0.43093636363636367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9D3-CBC9-47AB-BA75-E160A3C58BDF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0.1739</v>
      </c>
      <c r="D3" s="1">
        <v>1</v>
      </c>
      <c r="E3" s="1">
        <v>0.29630000000000001</v>
      </c>
      <c r="F3" s="1">
        <v>0.28570000000000001</v>
      </c>
      <c r="G3" s="1">
        <v>1</v>
      </c>
      <c r="H3" s="1">
        <v>0.44440000000000002</v>
      </c>
      <c r="I3" s="1">
        <v>0.1739</v>
      </c>
      <c r="J3" s="1">
        <v>1</v>
      </c>
      <c r="K3" s="1">
        <v>0.29630000000000001</v>
      </c>
      <c r="L3" s="1">
        <v>0.1143</v>
      </c>
      <c r="M3" s="1">
        <v>1</v>
      </c>
      <c r="N3" s="1">
        <v>0.2051</v>
      </c>
    </row>
    <row r="4" spans="1:14" x14ac:dyDescent="0.3">
      <c r="A4">
        <v>2</v>
      </c>
      <c r="B4" t="s">
        <v>3</v>
      </c>
      <c r="C4" s="1">
        <v>0.2432</v>
      </c>
      <c r="D4" s="1">
        <v>0.32140000000000002</v>
      </c>
      <c r="E4" s="1">
        <v>0.27689999999999998</v>
      </c>
      <c r="F4" s="1">
        <v>9.2999999999999999E-2</v>
      </c>
      <c r="G4" s="1">
        <v>0.1429</v>
      </c>
      <c r="H4" s="1">
        <v>0.11269999999999999</v>
      </c>
      <c r="I4" s="1">
        <v>0.1724</v>
      </c>
      <c r="J4" s="1">
        <v>0.35709999999999997</v>
      </c>
      <c r="K4" s="1">
        <v>0.2326</v>
      </c>
      <c r="L4" s="1">
        <v>8.5699999999999998E-2</v>
      </c>
      <c r="M4" s="1">
        <v>0.1071</v>
      </c>
      <c r="N4" s="1">
        <v>9.5200000000000007E-2</v>
      </c>
    </row>
    <row r="5" spans="1:14" x14ac:dyDescent="0.3">
      <c r="A5">
        <v>3</v>
      </c>
      <c r="B5" t="s">
        <v>4</v>
      </c>
      <c r="C5" s="1">
        <v>0.2727</v>
      </c>
      <c r="D5" s="1">
        <v>1</v>
      </c>
      <c r="E5" s="1">
        <v>0.42859999999999998</v>
      </c>
      <c r="F5" s="1">
        <v>0.21429999999999999</v>
      </c>
      <c r="G5" s="1">
        <v>1</v>
      </c>
      <c r="H5" s="1">
        <v>0.35289999999999999</v>
      </c>
      <c r="I5" s="1">
        <v>0.13639999999999999</v>
      </c>
      <c r="J5" s="1">
        <v>1</v>
      </c>
      <c r="K5" s="1">
        <v>0.24</v>
      </c>
      <c r="L5" s="1">
        <v>5.5599999999999997E-2</v>
      </c>
      <c r="M5" s="1">
        <v>0.33329999999999999</v>
      </c>
      <c r="N5" s="1">
        <v>9.5200000000000007E-2</v>
      </c>
    </row>
    <row r="6" spans="1:14" x14ac:dyDescent="0.3">
      <c r="A6">
        <v>4</v>
      </c>
      <c r="B6" t="s">
        <v>5</v>
      </c>
      <c r="C6" s="1">
        <v>0.26919999999999999</v>
      </c>
      <c r="D6" s="1">
        <v>6.9000000000000006E-2</v>
      </c>
      <c r="E6" s="1">
        <v>0.10979999999999999</v>
      </c>
      <c r="F6" s="1">
        <v>0.1348</v>
      </c>
      <c r="G6" s="1">
        <v>0.21179999999999999</v>
      </c>
      <c r="H6" s="1">
        <v>0.1648</v>
      </c>
      <c r="I6" s="1">
        <v>0.25</v>
      </c>
      <c r="J6" s="1">
        <v>0.1182</v>
      </c>
      <c r="K6" s="1">
        <v>0.1605</v>
      </c>
      <c r="L6" s="1">
        <v>0.26669999999999999</v>
      </c>
      <c r="M6" s="1">
        <v>5.91E-2</v>
      </c>
      <c r="N6" s="1">
        <v>9.6799999999999997E-2</v>
      </c>
    </row>
    <row r="7" spans="1:14" x14ac:dyDescent="0.3">
      <c r="A7">
        <v>5</v>
      </c>
      <c r="B7" t="s">
        <v>6</v>
      </c>
      <c r="C7" s="1">
        <v>0.67569999999999997</v>
      </c>
      <c r="D7" s="1">
        <v>1</v>
      </c>
      <c r="E7" s="1">
        <v>0.80649999999999999</v>
      </c>
      <c r="F7" s="1">
        <v>0.16869999999999999</v>
      </c>
      <c r="G7" s="1">
        <v>0.56000000000000005</v>
      </c>
      <c r="H7" s="1">
        <v>0.25929999999999997</v>
      </c>
      <c r="I7" s="1">
        <v>0.37309999999999999</v>
      </c>
      <c r="J7" s="1">
        <v>1</v>
      </c>
      <c r="K7" s="1">
        <v>0.54349999999999998</v>
      </c>
      <c r="L7" s="1">
        <v>1</v>
      </c>
      <c r="M7" s="1">
        <v>1</v>
      </c>
      <c r="N7" s="1">
        <v>1</v>
      </c>
    </row>
    <row r="8" spans="1:14" x14ac:dyDescent="0.3">
      <c r="A8">
        <v>6</v>
      </c>
      <c r="B8" t="s">
        <v>7</v>
      </c>
      <c r="C8" s="1">
        <v>0.67159999999999997</v>
      </c>
      <c r="D8" s="1">
        <v>0.17929999999999999</v>
      </c>
      <c r="E8" s="1">
        <v>0.28299999999999997</v>
      </c>
      <c r="F8" s="1">
        <v>0.92190000000000005</v>
      </c>
      <c r="G8" s="1">
        <v>0.70520000000000005</v>
      </c>
      <c r="H8" s="1">
        <v>0.79910000000000003</v>
      </c>
      <c r="I8" s="1">
        <v>0.5333</v>
      </c>
      <c r="J8" s="1">
        <v>0.22309999999999999</v>
      </c>
      <c r="K8" s="1">
        <v>0.31459999999999999</v>
      </c>
      <c r="L8" s="1">
        <v>0.67649999999999999</v>
      </c>
      <c r="M8" s="1">
        <v>9.1600000000000001E-2</v>
      </c>
      <c r="N8" s="1">
        <v>0.16139999999999999</v>
      </c>
    </row>
    <row r="9" spans="1:14" x14ac:dyDescent="0.3">
      <c r="A9">
        <v>7</v>
      </c>
      <c r="B9" t="s">
        <v>8</v>
      </c>
      <c r="C9" s="1">
        <v>0.50619999999999998</v>
      </c>
      <c r="D9" s="1">
        <v>0.46589999999999998</v>
      </c>
      <c r="E9" s="1">
        <v>0.48520000000000002</v>
      </c>
      <c r="F9" s="1">
        <v>0.34949999999999998</v>
      </c>
      <c r="G9" s="1">
        <v>0.81820000000000004</v>
      </c>
      <c r="H9" s="1">
        <v>0.48980000000000001</v>
      </c>
      <c r="I9" s="1">
        <v>0.57889999999999997</v>
      </c>
      <c r="J9" s="1">
        <v>0.625</v>
      </c>
      <c r="K9" s="1">
        <v>0.60109999999999997</v>
      </c>
      <c r="L9" s="1">
        <v>0.3125</v>
      </c>
      <c r="M9" s="1">
        <v>0.17050000000000001</v>
      </c>
      <c r="N9" s="1">
        <v>0.22059999999999999</v>
      </c>
    </row>
    <row r="10" spans="1:14" x14ac:dyDescent="0.3">
      <c r="A10">
        <v>8</v>
      </c>
      <c r="B10" t="s">
        <v>9</v>
      </c>
      <c r="C10" s="1">
        <v>0.96430000000000005</v>
      </c>
      <c r="D10" s="1">
        <v>0.21429999999999999</v>
      </c>
      <c r="E10" s="1">
        <v>0.35060000000000002</v>
      </c>
      <c r="F10" s="1">
        <v>0.66320000000000001</v>
      </c>
      <c r="G10" s="1">
        <v>0.5</v>
      </c>
      <c r="H10" s="1">
        <v>0.57010000000000005</v>
      </c>
      <c r="I10" s="1">
        <v>0.27629999999999999</v>
      </c>
      <c r="J10" s="1">
        <v>0.16669999999999999</v>
      </c>
      <c r="K10" s="1">
        <v>0.2079</v>
      </c>
      <c r="L10" s="1">
        <v>0.6341</v>
      </c>
      <c r="M10" s="1">
        <v>0.20630000000000001</v>
      </c>
      <c r="N10" s="1">
        <v>0.31140000000000001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12</v>
      </c>
      <c r="C13" s="1">
        <v>1</v>
      </c>
      <c r="D13" s="1">
        <v>0.125</v>
      </c>
      <c r="E13" s="1">
        <v>0.22220000000000001</v>
      </c>
      <c r="F13" s="1">
        <v>1</v>
      </c>
      <c r="G13" s="1">
        <v>0.30880000000000002</v>
      </c>
      <c r="H13" s="1">
        <v>0.47189999999999999</v>
      </c>
      <c r="I13" s="1">
        <v>0.87619999999999998</v>
      </c>
      <c r="J13" s="1">
        <v>0.1691</v>
      </c>
      <c r="K13" s="1">
        <v>0.28349999999999997</v>
      </c>
      <c r="L13" s="1">
        <v>0.63890000000000002</v>
      </c>
      <c r="M13" s="1">
        <v>4.2299999999999997E-2</v>
      </c>
      <c r="N13" s="1">
        <v>7.9299999999999995E-2</v>
      </c>
    </row>
    <row r="14" spans="1:14" x14ac:dyDescent="0.3">
      <c r="A14" s="5" t="s">
        <v>13</v>
      </c>
      <c r="B14" s="5"/>
      <c r="C14" s="4">
        <f>AVERAGE(C3:C13)</f>
        <v>0.43425454545454545</v>
      </c>
      <c r="D14" s="4">
        <f t="shared" ref="D14:N14" si="0">AVERAGE(D3:D13)</f>
        <v>0.39771818181818186</v>
      </c>
      <c r="E14" s="4">
        <f t="shared" si="0"/>
        <v>0.29628181818181815</v>
      </c>
      <c r="F14" s="4">
        <f t="shared" si="0"/>
        <v>0.34828181818181819</v>
      </c>
      <c r="G14" s="4">
        <f t="shared" si="0"/>
        <v>0.47699090909090908</v>
      </c>
      <c r="H14" s="4">
        <f t="shared" si="0"/>
        <v>0.33318181818181819</v>
      </c>
      <c r="I14" s="4">
        <f t="shared" si="0"/>
        <v>0.30640909090909091</v>
      </c>
      <c r="J14" s="4">
        <f t="shared" si="0"/>
        <v>0.42356363636363631</v>
      </c>
      <c r="K14" s="4">
        <f t="shared" si="0"/>
        <v>0.26181818181818184</v>
      </c>
      <c r="L14" s="4">
        <f t="shared" si="0"/>
        <v>0.34402727272727274</v>
      </c>
      <c r="M14" s="4">
        <f t="shared" si="0"/>
        <v>0.27365454545454548</v>
      </c>
      <c r="N14" s="4">
        <f t="shared" si="0"/>
        <v>0.20590909090909087</v>
      </c>
    </row>
  </sheetData>
  <mergeCells count="5">
    <mergeCell ref="C1:E1"/>
    <mergeCell ref="F1:H1"/>
    <mergeCell ref="I1:K1"/>
    <mergeCell ref="L1:N1"/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41C-5682-4F5C-B8CF-C2F8C5F0E58F}">
  <dimension ref="A1:N14"/>
  <sheetViews>
    <sheetView workbookViewId="0">
      <selection activeCell="C14" sqref="C14:N14"/>
    </sheetView>
  </sheetViews>
  <sheetFormatPr defaultRowHeight="14.4" x14ac:dyDescent="0.3"/>
  <cols>
    <col min="2" max="2" width="48.21875" bestFit="1" customWidth="1"/>
  </cols>
  <sheetData>
    <row r="1" spans="1:14" x14ac:dyDescent="0.3">
      <c r="C1" s="5" t="s">
        <v>14</v>
      </c>
      <c r="D1" s="5"/>
      <c r="E1" s="5"/>
      <c r="F1" s="5" t="s">
        <v>15</v>
      </c>
      <c r="G1" s="5"/>
      <c r="H1" s="5"/>
      <c r="I1" s="5" t="s">
        <v>16</v>
      </c>
      <c r="J1" s="5"/>
      <c r="K1" s="5"/>
      <c r="L1" s="5" t="s">
        <v>17</v>
      </c>
      <c r="M1" s="5"/>
      <c r="N1" s="5"/>
    </row>
    <row r="2" spans="1:14" x14ac:dyDescent="0.3">
      <c r="A2" t="s">
        <v>0</v>
      </c>
      <c r="B2" t="s">
        <v>1</v>
      </c>
      <c r="C2" t="s">
        <v>18</v>
      </c>
      <c r="D2" t="s">
        <v>19</v>
      </c>
      <c r="E2" t="s">
        <v>20</v>
      </c>
      <c r="F2" t="s">
        <v>18</v>
      </c>
      <c r="G2" t="s">
        <v>19</v>
      </c>
      <c r="H2" t="s">
        <v>20</v>
      </c>
      <c r="I2" t="s">
        <v>18</v>
      </c>
      <c r="J2" t="s">
        <v>19</v>
      </c>
      <c r="K2" t="s">
        <v>20</v>
      </c>
      <c r="L2" t="s">
        <v>18</v>
      </c>
      <c r="M2" t="s">
        <v>19</v>
      </c>
      <c r="N2" t="s">
        <v>20</v>
      </c>
    </row>
    <row r="3" spans="1:14" x14ac:dyDescent="0.3">
      <c r="A3">
        <v>1</v>
      </c>
      <c r="B3" t="s">
        <v>2</v>
      </c>
      <c r="C3" s="1">
        <v>0.2</v>
      </c>
      <c r="D3" s="1">
        <v>1</v>
      </c>
      <c r="E3" s="1">
        <v>0.33329999999999999</v>
      </c>
      <c r="F3" s="1">
        <v>0.33329999999999999</v>
      </c>
      <c r="G3" s="1">
        <v>1</v>
      </c>
      <c r="H3" s="1">
        <v>0.5</v>
      </c>
      <c r="I3" s="1">
        <v>0.33329999999999999</v>
      </c>
      <c r="J3" s="1">
        <v>1</v>
      </c>
      <c r="K3" s="1">
        <v>0.5</v>
      </c>
      <c r="L3" s="1">
        <v>0.1905</v>
      </c>
      <c r="M3" s="1">
        <v>1</v>
      </c>
      <c r="N3" s="1">
        <v>0.32</v>
      </c>
    </row>
    <row r="4" spans="1:14" x14ac:dyDescent="0.3">
      <c r="A4">
        <v>2</v>
      </c>
      <c r="B4" t="s">
        <v>3</v>
      </c>
      <c r="C4" s="1">
        <v>4.4400000000000002E-2</v>
      </c>
      <c r="D4" s="1">
        <v>1</v>
      </c>
      <c r="E4" s="1">
        <v>8.5099999999999995E-2</v>
      </c>
      <c r="F4" s="1">
        <v>3.6400000000000002E-2</v>
      </c>
      <c r="G4" s="1">
        <v>1</v>
      </c>
      <c r="H4" s="1">
        <v>7.0199999999999999E-2</v>
      </c>
      <c r="I4" s="1">
        <v>3.6400000000000002E-2</v>
      </c>
      <c r="J4" s="1">
        <v>1</v>
      </c>
      <c r="K4" s="1">
        <v>7.0199999999999999E-2</v>
      </c>
      <c r="L4" s="1">
        <v>5.8799999999999998E-2</v>
      </c>
      <c r="M4" s="1">
        <v>1</v>
      </c>
      <c r="N4" s="1">
        <v>0.1111</v>
      </c>
    </row>
    <row r="5" spans="1:14" x14ac:dyDescent="0.3">
      <c r="A5">
        <v>3</v>
      </c>
      <c r="B5" t="s">
        <v>4</v>
      </c>
      <c r="C5" s="1">
        <v>0.1</v>
      </c>
      <c r="D5" s="1">
        <v>1</v>
      </c>
      <c r="E5" s="1">
        <v>0.18179999999999999</v>
      </c>
      <c r="F5" s="1">
        <v>0.25</v>
      </c>
      <c r="G5" s="1">
        <v>1</v>
      </c>
      <c r="H5" s="1">
        <v>0.4</v>
      </c>
      <c r="I5" s="1">
        <v>4.1700000000000001E-2</v>
      </c>
      <c r="J5" s="1">
        <v>1</v>
      </c>
      <c r="K5" s="1">
        <v>0.08</v>
      </c>
      <c r="L5" s="1">
        <v>7.6899999999999996E-2</v>
      </c>
      <c r="M5" s="1">
        <v>1</v>
      </c>
      <c r="N5" s="1">
        <v>0.1429</v>
      </c>
    </row>
    <row r="6" spans="1:14" x14ac:dyDescent="0.3">
      <c r="A6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3">
      <c r="A7">
        <v>5</v>
      </c>
      <c r="B7" t="s">
        <v>6</v>
      </c>
      <c r="C7" s="1">
        <v>0.48480000000000001</v>
      </c>
      <c r="D7" s="1">
        <v>0.127</v>
      </c>
      <c r="E7" s="1">
        <v>0.20130000000000001</v>
      </c>
      <c r="F7" s="1">
        <v>1</v>
      </c>
      <c r="G7" s="1">
        <v>1</v>
      </c>
      <c r="H7" s="1">
        <v>1</v>
      </c>
      <c r="I7" s="1">
        <v>1</v>
      </c>
      <c r="J7" s="1">
        <v>0.373</v>
      </c>
      <c r="K7" s="1">
        <v>0.54339999999999999</v>
      </c>
      <c r="L7" s="1">
        <v>0.13730000000000001</v>
      </c>
      <c r="M7" s="1">
        <v>5.5599999999999997E-2</v>
      </c>
      <c r="N7" s="1">
        <v>7.9100000000000004E-2</v>
      </c>
    </row>
    <row r="8" spans="1:14" x14ac:dyDescent="0.3">
      <c r="A8">
        <v>6</v>
      </c>
      <c r="B8" t="s">
        <v>7</v>
      </c>
      <c r="C8" s="1">
        <v>0.73529999999999995</v>
      </c>
      <c r="D8" s="1">
        <v>0.2404</v>
      </c>
      <c r="E8" s="1">
        <v>0.36230000000000001</v>
      </c>
      <c r="F8" s="1">
        <v>0.9204</v>
      </c>
      <c r="G8" s="1">
        <v>1</v>
      </c>
      <c r="H8" s="1">
        <v>0.95850000000000002</v>
      </c>
      <c r="I8" s="1">
        <v>0.78459999999999996</v>
      </c>
      <c r="J8" s="1">
        <v>0.4904</v>
      </c>
      <c r="K8" s="1">
        <v>0.60360000000000003</v>
      </c>
      <c r="L8" s="1">
        <v>0.4783</v>
      </c>
      <c r="M8" s="1">
        <v>0.10580000000000001</v>
      </c>
      <c r="N8" s="1">
        <v>0.17319999999999999</v>
      </c>
    </row>
    <row r="9" spans="1:14" x14ac:dyDescent="0.3">
      <c r="A9">
        <v>7</v>
      </c>
      <c r="B9" t="s">
        <v>8</v>
      </c>
      <c r="C9" s="1">
        <v>0.36</v>
      </c>
      <c r="D9" s="1">
        <v>0.40300000000000002</v>
      </c>
      <c r="E9" s="1">
        <v>0.38030000000000003</v>
      </c>
      <c r="F9" s="1">
        <v>0.32790000000000002</v>
      </c>
      <c r="G9" s="1">
        <v>0.89549999999999996</v>
      </c>
      <c r="H9" s="1">
        <v>0.48</v>
      </c>
      <c r="I9" s="1">
        <v>0.40679999999999999</v>
      </c>
      <c r="J9" s="1">
        <v>0.35820000000000002</v>
      </c>
      <c r="K9" s="1">
        <v>0.38100000000000001</v>
      </c>
      <c r="L9" s="1">
        <v>0.44740000000000002</v>
      </c>
      <c r="M9" s="1">
        <v>0.25369999999999998</v>
      </c>
      <c r="N9" s="1">
        <v>0.32379999999999998</v>
      </c>
    </row>
    <row r="10" spans="1:14" x14ac:dyDescent="0.3">
      <c r="A10">
        <v>8</v>
      </c>
      <c r="B10" t="s">
        <v>9</v>
      </c>
      <c r="C10" s="1">
        <v>1</v>
      </c>
      <c r="D10" s="1">
        <v>0.44779999999999998</v>
      </c>
      <c r="E10" s="1">
        <v>0.61860000000000004</v>
      </c>
      <c r="F10" s="1">
        <v>1</v>
      </c>
      <c r="G10" s="1">
        <v>1</v>
      </c>
      <c r="H10" s="1">
        <v>1</v>
      </c>
      <c r="I10" s="1">
        <v>1</v>
      </c>
      <c r="J10" s="1">
        <v>0.73129999999999995</v>
      </c>
      <c r="K10" s="1">
        <v>0.8448</v>
      </c>
      <c r="L10" s="1">
        <v>0.70830000000000004</v>
      </c>
      <c r="M10" s="1">
        <v>0.25369999999999998</v>
      </c>
      <c r="N10" s="1">
        <v>0.37359999999999999</v>
      </c>
    </row>
    <row r="11" spans="1:14" x14ac:dyDescent="0.3">
      <c r="A11">
        <v>9</v>
      </c>
      <c r="B11" t="s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>
        <v>10</v>
      </c>
      <c r="B12" t="s">
        <v>11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3">
      <c r="A13">
        <v>11</v>
      </c>
      <c r="B13" t="s">
        <v>12</v>
      </c>
      <c r="C13" s="1">
        <v>1</v>
      </c>
      <c r="D13" s="1">
        <v>0.30769999999999997</v>
      </c>
      <c r="E13" s="1">
        <v>0.47060000000000002</v>
      </c>
      <c r="F13" s="1">
        <v>0.97299999999999998</v>
      </c>
      <c r="G13" s="1">
        <v>0.46150000000000002</v>
      </c>
      <c r="H13" s="1">
        <v>0.62609999999999999</v>
      </c>
      <c r="I13" s="1">
        <v>1</v>
      </c>
      <c r="J13" s="1">
        <v>0.47439999999999999</v>
      </c>
      <c r="K13" s="1">
        <v>0.64349999999999996</v>
      </c>
      <c r="L13" s="1">
        <v>0.625</v>
      </c>
      <c r="M13" s="1">
        <v>0.12820000000000001</v>
      </c>
      <c r="N13" s="1">
        <v>0.21279999999999999</v>
      </c>
    </row>
    <row r="14" spans="1:14" x14ac:dyDescent="0.3">
      <c r="A14" s="5" t="s">
        <v>13</v>
      </c>
      <c r="B14" s="5"/>
      <c r="C14" s="4">
        <f>AVERAGE(C3:C13)</f>
        <v>0.44768181818181818</v>
      </c>
      <c r="D14" s="4">
        <f t="shared" ref="D14:N14" si="0">AVERAGE(D3:D13)</f>
        <v>0.50235454545454539</v>
      </c>
      <c r="E14" s="4">
        <f t="shared" si="0"/>
        <v>0.33030000000000004</v>
      </c>
      <c r="F14" s="4">
        <f t="shared" si="0"/>
        <v>0.44009090909090909</v>
      </c>
      <c r="G14" s="4">
        <f t="shared" si="0"/>
        <v>0.66881818181818187</v>
      </c>
      <c r="H14" s="4">
        <f t="shared" si="0"/>
        <v>0.4577090909090909</v>
      </c>
      <c r="I14" s="4">
        <f t="shared" si="0"/>
        <v>0.41843636363636366</v>
      </c>
      <c r="J14" s="4">
        <f t="shared" si="0"/>
        <v>0.49339090909090916</v>
      </c>
      <c r="K14" s="4">
        <f t="shared" si="0"/>
        <v>0.33331818181818185</v>
      </c>
      <c r="L14" s="4">
        <f t="shared" si="0"/>
        <v>0.24750000000000003</v>
      </c>
      <c r="M14" s="4">
        <f t="shared" si="0"/>
        <v>0.34518181818181815</v>
      </c>
      <c r="N14" s="4">
        <f t="shared" si="0"/>
        <v>0.15786363636363634</v>
      </c>
    </row>
  </sheetData>
  <mergeCells count="5">
    <mergeCell ref="A14:B14"/>
    <mergeCell ref="C1:E1"/>
    <mergeCell ref="F1:H1"/>
    <mergeCell ref="I1:K1"/>
    <mergeCell ref="L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8FB0-C246-4851-9C7F-00BBBFBFAF6D}">
  <dimension ref="A2:M16"/>
  <sheetViews>
    <sheetView tabSelected="1" workbookViewId="0">
      <selection activeCell="A4" sqref="A4:M7"/>
    </sheetView>
  </sheetViews>
  <sheetFormatPr defaultRowHeight="14.4" x14ac:dyDescent="0.3"/>
  <cols>
    <col min="1" max="1" width="13.109375" bestFit="1" customWidth="1"/>
  </cols>
  <sheetData>
    <row r="2" spans="1:13" x14ac:dyDescent="0.3">
      <c r="A2" s="2"/>
      <c r="B2" s="6" t="s">
        <v>14</v>
      </c>
      <c r="C2" s="6"/>
      <c r="D2" s="6"/>
      <c r="E2" s="6" t="s">
        <v>15</v>
      </c>
      <c r="F2" s="6"/>
      <c r="G2" s="6"/>
      <c r="H2" s="6" t="s">
        <v>16</v>
      </c>
      <c r="I2" s="6"/>
      <c r="J2" s="6"/>
      <c r="K2" s="6" t="s">
        <v>17</v>
      </c>
      <c r="L2" s="6"/>
      <c r="M2" s="6"/>
    </row>
    <row r="3" spans="1:13" x14ac:dyDescent="0.3">
      <c r="A3" s="2"/>
      <c r="B3" s="2" t="s">
        <v>18</v>
      </c>
      <c r="C3" s="2" t="s">
        <v>19</v>
      </c>
      <c r="D3" s="2" t="s">
        <v>20</v>
      </c>
      <c r="E3" s="2" t="s">
        <v>18</v>
      </c>
      <c r="F3" s="2" t="s">
        <v>19</v>
      </c>
      <c r="G3" s="2" t="s">
        <v>20</v>
      </c>
      <c r="H3" s="2" t="s">
        <v>18</v>
      </c>
      <c r="I3" s="2" t="s">
        <v>19</v>
      </c>
      <c r="J3" s="2" t="s">
        <v>20</v>
      </c>
      <c r="K3" s="2" t="s">
        <v>18</v>
      </c>
      <c r="L3" s="2" t="s">
        <v>19</v>
      </c>
      <c r="M3" s="2" t="s">
        <v>20</v>
      </c>
    </row>
    <row r="4" spans="1:13" x14ac:dyDescent="0.3">
      <c r="A4" s="2" t="s">
        <v>21</v>
      </c>
      <c r="B4" s="3">
        <f>Codepolitan!C14</f>
        <v>0.62885454545454555</v>
      </c>
      <c r="C4" s="3">
        <f>Codepolitan!D14</f>
        <v>0.78313636363636363</v>
      </c>
      <c r="D4" s="3">
        <f>Codepolitan!E14</f>
        <v>0.63136363636363635</v>
      </c>
      <c r="E4" s="3">
        <f>Codepolitan!F14</f>
        <v>0.55778181818181816</v>
      </c>
      <c r="F4" s="3">
        <f>Codepolitan!G14</f>
        <v>0.63268181818181823</v>
      </c>
      <c r="G4" s="3">
        <f>Codepolitan!H14</f>
        <v>0.58478181818181818</v>
      </c>
      <c r="H4" s="3">
        <f>Codepolitan!I14</f>
        <v>0.5300454545454546</v>
      </c>
      <c r="I4" s="3">
        <f>Codepolitan!J14</f>
        <v>0.6101545454545455</v>
      </c>
      <c r="J4" s="3">
        <f>Codepolitan!K14</f>
        <v>0.53648181818181817</v>
      </c>
      <c r="K4" s="3">
        <f>Codepolitan!L14</f>
        <v>0.62076363636363641</v>
      </c>
      <c r="L4" s="3">
        <f>Codepolitan!M14</f>
        <v>0.78825454545454543</v>
      </c>
      <c r="M4" s="3">
        <f>Codepolitan!N14</f>
        <v>0.62049090909090898</v>
      </c>
    </row>
    <row r="5" spans="1:13" x14ac:dyDescent="0.3">
      <c r="A5" s="2" t="s">
        <v>22</v>
      </c>
      <c r="B5" s="3">
        <f>Ganesha!C14</f>
        <v>0.44925454545454541</v>
      </c>
      <c r="C5" s="3">
        <f>Ganesha!D14</f>
        <v>0.44565454545454541</v>
      </c>
      <c r="D5" s="3">
        <f>Ganesha!E14</f>
        <v>0.42195454545454542</v>
      </c>
      <c r="E5" s="3">
        <f>Ganesha!F14</f>
        <v>0.35748181818181818</v>
      </c>
      <c r="F5" s="3">
        <f>Ganesha!G14</f>
        <v>0.46361818181818182</v>
      </c>
      <c r="G5" s="3">
        <f>Ganesha!H14</f>
        <v>0.34502727272727274</v>
      </c>
      <c r="H5" s="3">
        <f>Ganesha!I14</f>
        <v>0.43173636363636364</v>
      </c>
      <c r="I5" s="3">
        <f>Ganesha!J14</f>
        <v>0.50515454545454552</v>
      </c>
      <c r="J5" s="3">
        <f>Ganesha!K14</f>
        <v>0.43164545454545455</v>
      </c>
      <c r="K5" s="3">
        <f>Ganesha!L14</f>
        <v>0.41405454545454551</v>
      </c>
      <c r="L5" s="3">
        <f>Ganesha!M14</f>
        <v>0.52430909090909095</v>
      </c>
      <c r="M5" s="3">
        <f>Ganesha!N14</f>
        <v>0.43093636363636367</v>
      </c>
    </row>
    <row r="6" spans="1:13" x14ac:dyDescent="0.3">
      <c r="A6" s="2" t="s">
        <v>23</v>
      </c>
      <c r="B6" s="3">
        <f>RuangGuru!C14</f>
        <v>0.43425454545454545</v>
      </c>
      <c r="C6" s="3">
        <f>RuangGuru!D14</f>
        <v>0.39771818181818186</v>
      </c>
      <c r="D6" s="3">
        <f>RuangGuru!E14</f>
        <v>0.29628181818181815</v>
      </c>
      <c r="E6" s="3">
        <f>RuangGuru!F14</f>
        <v>0.34828181818181819</v>
      </c>
      <c r="F6" s="3">
        <f>RuangGuru!G14</f>
        <v>0.47699090909090908</v>
      </c>
      <c r="G6" s="3">
        <f>RuangGuru!H14</f>
        <v>0.33318181818181819</v>
      </c>
      <c r="H6" s="3">
        <f>RuangGuru!I14</f>
        <v>0.30640909090909091</v>
      </c>
      <c r="I6" s="3">
        <f>RuangGuru!J14</f>
        <v>0.42356363636363631</v>
      </c>
      <c r="J6" s="3">
        <f>RuangGuru!K14</f>
        <v>0.26181818181818184</v>
      </c>
      <c r="K6" s="3">
        <f>RuangGuru!L14</f>
        <v>0.34402727272727274</v>
      </c>
      <c r="L6" s="3">
        <f>RuangGuru!M14</f>
        <v>0.27365454545454548</v>
      </c>
      <c r="M6" s="3">
        <f>RuangGuru!N14</f>
        <v>0.20590909090909087</v>
      </c>
    </row>
    <row r="7" spans="1:13" x14ac:dyDescent="0.3">
      <c r="A7" s="2" t="s">
        <v>24</v>
      </c>
      <c r="B7" s="3">
        <f>Zenius!C14</f>
        <v>0.44768181818181818</v>
      </c>
      <c r="C7" s="3">
        <f>Zenius!D14</f>
        <v>0.50235454545454539</v>
      </c>
      <c r="D7" s="3">
        <f>Zenius!E14</f>
        <v>0.33030000000000004</v>
      </c>
      <c r="E7" s="3">
        <f>Zenius!F14</f>
        <v>0.44009090909090909</v>
      </c>
      <c r="F7" s="3">
        <f>Zenius!G14</f>
        <v>0.66881818181818187</v>
      </c>
      <c r="G7" s="3">
        <f>Zenius!H14</f>
        <v>0.4577090909090909</v>
      </c>
      <c r="H7" s="3">
        <f>Zenius!I14</f>
        <v>0.41843636363636366</v>
      </c>
      <c r="I7" s="3">
        <f>Zenius!J14</f>
        <v>0.49339090909090916</v>
      </c>
      <c r="J7" s="3">
        <f>Zenius!K14</f>
        <v>0.33331818181818185</v>
      </c>
      <c r="K7" s="3">
        <f>Zenius!L14</f>
        <v>0.24750000000000003</v>
      </c>
      <c r="L7" s="3">
        <f>Zenius!M14</f>
        <v>0.34518181818181815</v>
      </c>
      <c r="M7" s="3">
        <f>Zenius!N14</f>
        <v>0.15786363636363634</v>
      </c>
    </row>
    <row r="8" spans="1:13" x14ac:dyDescent="0.3">
      <c r="A8" s="7" t="s">
        <v>25</v>
      </c>
      <c r="B8" s="4">
        <f>AVERAGE(B4:B7)</f>
        <v>0.49001136363636366</v>
      </c>
      <c r="C8" s="4">
        <f t="shared" ref="C8:M8" si="0">AVERAGE(C4:C7)</f>
        <v>0.5322159090909091</v>
      </c>
      <c r="D8" s="4">
        <f t="shared" si="0"/>
        <v>0.41997499999999999</v>
      </c>
      <c r="E8" s="4">
        <f t="shared" si="0"/>
        <v>0.4259090909090909</v>
      </c>
      <c r="F8" s="4">
        <f t="shared" si="0"/>
        <v>0.56052727272727276</v>
      </c>
      <c r="G8" s="4">
        <f t="shared" si="0"/>
        <v>0.43017499999999997</v>
      </c>
      <c r="H8" s="4">
        <f t="shared" si="0"/>
        <v>0.42165681818181822</v>
      </c>
      <c r="I8" s="4">
        <f t="shared" si="0"/>
        <v>0.5080659090909091</v>
      </c>
      <c r="J8" s="4">
        <f t="shared" si="0"/>
        <v>0.39081590909090907</v>
      </c>
      <c r="K8" s="4">
        <f t="shared" si="0"/>
        <v>0.40658636363636369</v>
      </c>
      <c r="L8" s="4">
        <f t="shared" si="0"/>
        <v>0.48285</v>
      </c>
      <c r="M8" s="4">
        <f t="shared" si="0"/>
        <v>0.35379999999999995</v>
      </c>
    </row>
    <row r="12" spans="1:13" x14ac:dyDescent="0.3">
      <c r="A12" s="2"/>
      <c r="B12" s="6" t="s">
        <v>14</v>
      </c>
      <c r="C12" s="6"/>
      <c r="D12" s="6"/>
      <c r="E12" s="6" t="s">
        <v>15</v>
      </c>
      <c r="F12" s="6"/>
      <c r="G12" s="6"/>
      <c r="H12" s="6" t="s">
        <v>16</v>
      </c>
      <c r="I12" s="6"/>
      <c r="J12" s="6"/>
      <c r="K12" s="6" t="s">
        <v>17</v>
      </c>
      <c r="L12" s="6"/>
      <c r="M12" s="6"/>
    </row>
    <row r="13" spans="1:13" x14ac:dyDescent="0.3">
      <c r="A13" s="2"/>
      <c r="B13" s="2" t="s">
        <v>18</v>
      </c>
      <c r="C13" s="2" t="s">
        <v>19</v>
      </c>
      <c r="D13" s="2" t="s">
        <v>20</v>
      </c>
      <c r="E13" s="2" t="s">
        <v>18</v>
      </c>
      <c r="F13" s="2" t="s">
        <v>19</v>
      </c>
      <c r="G13" s="2" t="s">
        <v>20</v>
      </c>
      <c r="H13" s="2" t="s">
        <v>18</v>
      </c>
      <c r="I13" s="2" t="s">
        <v>19</v>
      </c>
      <c r="J13" s="2" t="s">
        <v>20</v>
      </c>
      <c r="K13" s="2" t="s">
        <v>18</v>
      </c>
      <c r="L13" s="2" t="s">
        <v>19</v>
      </c>
      <c r="M13" s="2" t="s">
        <v>20</v>
      </c>
    </row>
    <row r="14" spans="1:13" x14ac:dyDescent="0.3">
      <c r="A14" s="2" t="s">
        <v>21</v>
      </c>
      <c r="B14" s="3">
        <v>0.62885454545454555</v>
      </c>
      <c r="C14" s="3">
        <v>0.78313636363636363</v>
      </c>
      <c r="D14" s="3">
        <v>0.63136363636363635</v>
      </c>
      <c r="E14" s="3">
        <v>0.55778181818181816</v>
      </c>
      <c r="F14" s="3">
        <v>0.63268181818181823</v>
      </c>
      <c r="G14" s="3">
        <v>0.58478181818181818</v>
      </c>
      <c r="H14" s="3">
        <v>0.5300454545454546</v>
      </c>
      <c r="I14" s="3">
        <v>0.6101545454545455</v>
      </c>
      <c r="J14" s="3">
        <v>0.53648181818181817</v>
      </c>
      <c r="K14" s="3">
        <v>0.62076363636363641</v>
      </c>
      <c r="L14" s="3">
        <v>0.78825454545454543</v>
      </c>
      <c r="M14" s="3">
        <v>0.62049090909090898</v>
      </c>
    </row>
    <row r="15" spans="1:13" x14ac:dyDescent="0.3">
      <c r="A15" s="2" t="s">
        <v>22</v>
      </c>
      <c r="B15" s="3">
        <v>0.44925454545454541</v>
      </c>
      <c r="C15" s="3">
        <v>0.44565454545454541</v>
      </c>
      <c r="D15" s="3">
        <v>0.42195454545454542</v>
      </c>
      <c r="E15" s="3">
        <v>0.35748181818181818</v>
      </c>
      <c r="F15" s="3">
        <v>0.46361818181818182</v>
      </c>
      <c r="G15" s="3">
        <v>0.34502727272727274</v>
      </c>
      <c r="H15" s="3">
        <v>0.43173636363636364</v>
      </c>
      <c r="I15" s="3">
        <v>0.50515454545454552</v>
      </c>
      <c r="J15" s="3">
        <v>0.43164545454545455</v>
      </c>
      <c r="K15" s="3">
        <v>0.41405454545454551</v>
      </c>
      <c r="L15" s="3">
        <v>0.52430909090909095</v>
      </c>
      <c r="M15" s="3">
        <v>0.43093636363636367</v>
      </c>
    </row>
    <row r="16" spans="1:13" x14ac:dyDescent="0.3">
      <c r="A16" t="s">
        <v>25</v>
      </c>
      <c r="B16" s="4">
        <f>AVERAGE(B14:B15)</f>
        <v>0.53905454545454545</v>
      </c>
      <c r="C16" s="4">
        <f t="shared" ref="C16:M16" si="1">AVERAGE(C14:C15)</f>
        <v>0.61439545454545452</v>
      </c>
      <c r="D16" s="4">
        <f t="shared" si="1"/>
        <v>0.52665909090909091</v>
      </c>
      <c r="E16" s="4">
        <f t="shared" si="1"/>
        <v>0.4576318181818182</v>
      </c>
      <c r="F16" s="4">
        <f t="shared" si="1"/>
        <v>0.54815000000000003</v>
      </c>
      <c r="G16" s="4">
        <f t="shared" si="1"/>
        <v>0.46490454545454546</v>
      </c>
      <c r="H16" s="4">
        <f t="shared" si="1"/>
        <v>0.48089090909090915</v>
      </c>
      <c r="I16" s="4">
        <f t="shared" si="1"/>
        <v>0.55765454545454551</v>
      </c>
      <c r="J16" s="4">
        <f t="shared" si="1"/>
        <v>0.48406363636363636</v>
      </c>
      <c r="K16" s="4">
        <f t="shared" si="1"/>
        <v>0.51740909090909093</v>
      </c>
      <c r="L16" s="4">
        <f t="shared" si="1"/>
        <v>0.65628181818181819</v>
      </c>
      <c r="M16" s="4">
        <f t="shared" si="1"/>
        <v>0.52571363636363633</v>
      </c>
    </row>
  </sheetData>
  <mergeCells count="8">
    <mergeCell ref="B2:D2"/>
    <mergeCell ref="E2:G2"/>
    <mergeCell ref="H2:J2"/>
    <mergeCell ref="K2:M2"/>
    <mergeCell ref="B12:D12"/>
    <mergeCell ref="E12:G12"/>
    <mergeCell ref="H12:J12"/>
    <mergeCell ref="K12:M12"/>
  </mergeCells>
  <pageMargins left="0.7" right="0.7" top="0.75" bottom="0.75" header="0.3" footer="0.3"/>
  <pageSetup paperSize="9" orientation="portrait" horizontalDpi="4294967293" verticalDpi="0" r:id="rId1"/>
  <drawing r:id="rId2"/>
</worksheet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Codepolitan</vt:lpstr>
      <vt:lpstr>Ganesha</vt:lpstr>
      <vt:lpstr>RuangGuru</vt:lpstr>
      <vt:lpstr>Zenius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ARNEAL OCTORA</dc:creator>
  <cp:lastModifiedBy>VERO ARNEAL OCTORA</cp:lastModifiedBy>
  <dcterms:created xsi:type="dcterms:W3CDTF">2025-12-13T07:04:31Z</dcterms:created>
  <dcterms:modified xsi:type="dcterms:W3CDTF">2025-12-29T02:58:17Z</dcterms:modified>
</cp:coreProperties>
</file>
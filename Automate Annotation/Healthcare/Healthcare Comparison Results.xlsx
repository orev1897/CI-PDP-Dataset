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veroarneal_student_telkomuniversity_ac_id/Documents/Ku.li.ah - 203022320012/Semester IV/Thesis/Dataset &amp; Results/Healthcare/01. RESULTS/"/>
    </mc:Choice>
  </mc:AlternateContent>
  <xr:revisionPtr revIDLastSave="109" documentId="8_{111FB544-1306-4362-B0E3-67EFAEB17A15}" xr6:coauthVersionLast="47" xr6:coauthVersionMax="47" xr10:uidLastSave="{0B9307C0-FAB2-409B-8C4F-6A903A9FC65C}"/>
  <bookViews>
    <workbookView minimized="1" xWindow="-3324" yWindow="3276" windowWidth="17280" windowHeight="8880" xr2:uid="{8FD09F32-6554-4E25-AD72-3F8DEA4F3296}"/>
  </bookViews>
  <sheets>
    <sheet name="average" sheetId="5" r:id="rId1"/>
    <sheet name="alodokter" sheetId="1" r:id="rId2"/>
    <sheet name="halodoc" sheetId="2" r:id="rId3"/>
    <sheet name="linksehat" sheetId="3" r:id="rId4"/>
    <sheet name="prodi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D3" i="5"/>
  <c r="E3" i="5"/>
  <c r="F3" i="5"/>
  <c r="G3" i="5"/>
  <c r="H3" i="5"/>
  <c r="I3" i="5"/>
  <c r="J3" i="5"/>
  <c r="K3" i="5"/>
  <c r="L3" i="5"/>
  <c r="M3" i="5"/>
  <c r="C4" i="5"/>
  <c r="D4" i="5"/>
  <c r="E4" i="5"/>
  <c r="F4" i="5"/>
  <c r="G4" i="5"/>
  <c r="H4" i="5"/>
  <c r="I4" i="5"/>
  <c r="J4" i="5"/>
  <c r="K4" i="5"/>
  <c r="L4" i="5"/>
  <c r="M4" i="5"/>
  <c r="C5" i="5"/>
  <c r="D5" i="5"/>
  <c r="E5" i="5"/>
  <c r="F5" i="5"/>
  <c r="G5" i="5"/>
  <c r="H5" i="5"/>
  <c r="I5" i="5"/>
  <c r="J5" i="5"/>
  <c r="K5" i="5"/>
  <c r="L5" i="5"/>
  <c r="M5" i="5"/>
  <c r="C6" i="5"/>
  <c r="D6" i="5"/>
  <c r="E6" i="5"/>
  <c r="F6" i="5"/>
  <c r="G6" i="5"/>
  <c r="H6" i="5"/>
  <c r="I6" i="5"/>
  <c r="J6" i="5"/>
  <c r="K6" i="5"/>
  <c r="L6" i="5"/>
  <c r="M6" i="5"/>
  <c r="B5" i="5"/>
  <c r="B6" i="5"/>
  <c r="B4" i="5"/>
  <c r="B3" i="5"/>
  <c r="N14" i="1"/>
  <c r="M14" i="1"/>
  <c r="L14" i="1"/>
  <c r="K14" i="1"/>
  <c r="J14" i="1"/>
  <c r="I14" i="1"/>
  <c r="H14" i="1"/>
  <c r="G14" i="1"/>
  <c r="F14" i="1"/>
  <c r="E14" i="1"/>
  <c r="D14" i="1"/>
  <c r="C14" i="1"/>
  <c r="N14" i="2"/>
  <c r="M14" i="2"/>
  <c r="L14" i="2"/>
  <c r="K14" i="2"/>
  <c r="J14" i="2"/>
  <c r="I14" i="2"/>
  <c r="H14" i="2"/>
  <c r="G14" i="2"/>
  <c r="F14" i="2"/>
  <c r="E14" i="2"/>
  <c r="D14" i="2"/>
  <c r="C14" i="2"/>
  <c r="N14" i="3"/>
  <c r="M14" i="3"/>
  <c r="L14" i="3"/>
  <c r="K14" i="3"/>
  <c r="J14" i="3"/>
  <c r="I14" i="3"/>
  <c r="H14" i="3"/>
  <c r="G14" i="3"/>
  <c r="F14" i="3"/>
  <c r="E14" i="3"/>
  <c r="D14" i="3"/>
  <c r="C14" i="3"/>
  <c r="D14" i="4"/>
  <c r="E14" i="4"/>
  <c r="F14" i="4"/>
  <c r="G14" i="4"/>
  <c r="H14" i="4"/>
  <c r="I14" i="4"/>
  <c r="J14" i="4"/>
  <c r="K14" i="4"/>
  <c r="L14" i="4"/>
  <c r="M14" i="4"/>
  <c r="N14" i="4"/>
  <c r="C14" i="4"/>
</calcChain>
</file>

<file path=xl/sharedStrings.xml><?xml version="1.0" encoding="utf-8"?>
<sst xmlns="http://schemas.openxmlformats.org/spreadsheetml/2006/main" count="140" uniqueCount="25">
  <si>
    <t>No</t>
  </si>
  <si>
    <t>Parameter</t>
  </si>
  <si>
    <t>Pengirim/pengendali data</t>
  </si>
  <si>
    <t>Penerima/prosesor data</t>
  </si>
  <si>
    <t>Subjek data</t>
  </si>
  <si>
    <t>Prinsip Transmisi</t>
  </si>
  <si>
    <t>Legalitas dari Pemrosesan Data Pribadi</t>
  </si>
  <si>
    <t>Tujuan Pemrosesan Data Pribadi</t>
  </si>
  <si>
    <t>Jenis dan Relevansi Data Pribadi yang akan diproses</t>
  </si>
  <si>
    <t>Jangka Waktu Retensi Dokumen yang Memuat Data Pribadi</t>
  </si>
  <si>
    <t>Rincian Mengenai Informasi yang Dikumpulkan</t>
  </si>
  <si>
    <t>Jangka Waktu Pemrosesan Data Pribadi</t>
  </si>
  <si>
    <t>Hak Subjek Data Pribadi</t>
  </si>
  <si>
    <t>Average</t>
  </si>
  <si>
    <t>ChatGPT</t>
  </si>
  <si>
    <t>Gemini</t>
  </si>
  <si>
    <t>Grok</t>
  </si>
  <si>
    <t>Perplexity</t>
  </si>
  <si>
    <t>Precision</t>
  </si>
  <si>
    <t>Recall</t>
  </si>
  <si>
    <t>F1-Score</t>
  </si>
  <si>
    <t>alodokter</t>
  </si>
  <si>
    <t>halodoc</t>
  </si>
  <si>
    <t>linksehat</t>
  </si>
  <si>
    <t>prodia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</si>
</sst>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1" applyNumberFormat="1" applyFont="1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average!$A$3</c:f>
              <c:strCache>
                <c:ptCount val="1"/>
                <c:pt idx="0">
                  <c:v>alodokter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(average!$B$1:$B$2,average!$E$1:$E$2,average!$H$1:$H$2,average!$K$1:$K$2)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average!$B$3:$M$3</c15:sqref>
                  </c15:fullRef>
                </c:ext>
              </c:extLst>
              <c:f>(average!$B$3,average!$E$3,average!$H$3,average!$K$3)</c:f>
              <c:numCache>
                <c:formatCode>0.00%</c:formatCode>
                <c:ptCount val="4"/>
                <c:pt idx="0">
                  <c:v>0.20497272727272725</c:v>
                </c:pt>
                <c:pt idx="1">
                  <c:v>2.1009090909090908E-2</c:v>
                </c:pt>
                <c:pt idx="2">
                  <c:v>0.11575454545454544</c:v>
                </c:pt>
                <c:pt idx="3">
                  <c:v>0.12314545454545454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0-4EC0-9C33-D236C0B06FBF}"/>
            </c:ext>
          </c:extLst>
        </c:ser>
        <c:ser>
          <c:idx val="1"/>
          <c:order val="1"/>
          <c:tx>
            <c:strRef>
              <c:f>average!$A$4</c:f>
              <c:strCache>
                <c:ptCount val="1"/>
                <c:pt idx="0">
                  <c:v>halodoc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(average!$B$1:$B$2,average!$E$1:$E$2,average!$H$1:$H$2,average!$K$1:$K$2)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(average!$B$4,average!$E$4,average!$H$4,average!$K$4)</c:f>
              <c:numCache>
                <c:formatCode>0.00%</c:formatCode>
                <c:ptCount val="4"/>
                <c:pt idx="0">
                  <c:v>0.3688909090909091</c:v>
                </c:pt>
                <c:pt idx="1">
                  <c:v>0.35473636363636363</c:v>
                </c:pt>
                <c:pt idx="2">
                  <c:v>0.35270909090909092</c:v>
                </c:pt>
                <c:pt idx="3">
                  <c:v>0.31725454545454546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0-4EC0-9C33-D236C0B06FBF}"/>
            </c:ext>
          </c:extLst>
        </c:ser>
        <c:ser>
          <c:idx val="2"/>
          <c:order val="2"/>
          <c:tx>
            <c:strRef>
              <c:f>average!$A$5</c:f>
              <c:strCache>
                <c:ptCount val="1"/>
                <c:pt idx="0">
                  <c:v>linksehat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(average!$B$1:$B$2,average!$E$1:$E$2,average!$H$1:$H$2,average!$K$1:$K$2)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(average!$B$5,average!$E$5,average!$H$5,average!$K$5)</c:f>
              <c:numCache>
                <c:formatCode>0.00%</c:formatCode>
                <c:ptCount val="4"/>
                <c:pt idx="0">
                  <c:v>0.15309999999999999</c:v>
                </c:pt>
                <c:pt idx="1">
                  <c:v>5.1836363636363639E-2</c:v>
                </c:pt>
                <c:pt idx="2">
                  <c:v>0.13961818181818184</c:v>
                </c:pt>
                <c:pt idx="3">
                  <c:v>0.15243636363636365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70-4EC0-9C33-D236C0B06FBF}"/>
            </c:ext>
          </c:extLst>
        </c:ser>
        <c:ser>
          <c:idx val="3"/>
          <c:order val="3"/>
          <c:tx>
            <c:strRef>
              <c:f>average!$A$6</c:f>
              <c:strCache>
                <c:ptCount val="1"/>
                <c:pt idx="0">
                  <c:v>prodia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(average!$B$1:$B$2,average!$E$1:$E$2,average!$H$1:$H$2,average!$K$1:$K$2)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(average!$B$6,average!$E$6,average!$H$6,average!$K$6)</c:f>
              <c:numCache>
                <c:formatCode>0.00%</c:formatCode>
                <c:ptCount val="4"/>
                <c:pt idx="0">
                  <c:v>0.3562818181818182</c:v>
                </c:pt>
                <c:pt idx="1">
                  <c:v>0.22029090909090909</c:v>
                </c:pt>
                <c:pt idx="2">
                  <c:v>0.28534545454545457</c:v>
                </c:pt>
                <c:pt idx="3">
                  <c:v>0.29457272727272726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70-4EC0-9C33-D236C0B06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865248"/>
        <c:axId val="944866688"/>
      </c:barChart>
      <c:catAx>
        <c:axId val="94486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866688"/>
        <c:crosses val="autoZero"/>
        <c:auto val="1"/>
        <c:lblAlgn val="ctr"/>
        <c:lblOffset val="100"/>
        <c:noMultiLvlLbl val="0"/>
      </c:catAx>
      <c:valAx>
        <c:axId val="9448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86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F1-Score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average!$A$3</c:f>
              <c:strCache>
                <c:ptCount val="1"/>
                <c:pt idx="0">
                  <c:v>alodokter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(average!$D$1:$D$2,average!$G$1:$G$2,average!$J$1:$J$2,average!$M$1:$M$2)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average!$B$3:$M$3</c15:sqref>
                  </c15:fullRef>
                </c:ext>
              </c:extLst>
              <c:f>(average!$D$3,average!$G$3,average!$J$3,average!$M$3)</c:f>
              <c:numCache>
                <c:formatCode>0.00%</c:formatCode>
                <c:ptCount val="4"/>
                <c:pt idx="0">
                  <c:v>0.16236363636363638</c:v>
                </c:pt>
                <c:pt idx="1">
                  <c:v>3.4509090909090906E-2</c:v>
                </c:pt>
                <c:pt idx="2">
                  <c:v>0.13116363636363637</c:v>
                </c:pt>
                <c:pt idx="3">
                  <c:v>0.13946363636363637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1-4428-987F-57D8761345FA}"/>
            </c:ext>
          </c:extLst>
        </c:ser>
        <c:ser>
          <c:idx val="1"/>
          <c:order val="1"/>
          <c:tx>
            <c:strRef>
              <c:f>average!$A$4</c:f>
              <c:strCache>
                <c:ptCount val="1"/>
                <c:pt idx="0">
                  <c:v>halodoc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(average!$D$1:$D$2,average!$G$1:$G$2,average!$J$1:$J$2,average!$M$1:$M$2)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(average!$D$4,average!$G$4,average!$J$4,average!$M$4)</c:f>
              <c:numCache>
                <c:formatCode>0.00%</c:formatCode>
                <c:ptCount val="4"/>
                <c:pt idx="0">
                  <c:v>0.21818181818181823</c:v>
                </c:pt>
                <c:pt idx="1">
                  <c:v>0.31102727272727271</c:v>
                </c:pt>
                <c:pt idx="2">
                  <c:v>0.33776363636363632</c:v>
                </c:pt>
                <c:pt idx="3">
                  <c:v>0.21746363636363639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1-4428-987F-57D8761345FA}"/>
            </c:ext>
          </c:extLst>
        </c:ser>
        <c:ser>
          <c:idx val="2"/>
          <c:order val="2"/>
          <c:tx>
            <c:strRef>
              <c:f>average!$A$5</c:f>
              <c:strCache>
                <c:ptCount val="1"/>
                <c:pt idx="0">
                  <c:v>linksehat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(average!$D$1:$D$2,average!$G$1:$G$2,average!$J$1:$J$2,average!$M$1:$M$2)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(average!$D$5,average!$G$5,average!$J$5,average!$M$5)</c:f>
              <c:numCache>
                <c:formatCode>0.00%</c:formatCode>
                <c:ptCount val="4"/>
                <c:pt idx="0">
                  <c:v>0.14549999999999999</c:v>
                </c:pt>
                <c:pt idx="1">
                  <c:v>5.8818181818181818E-2</c:v>
                </c:pt>
                <c:pt idx="2">
                  <c:v>0.14033636363636362</c:v>
                </c:pt>
                <c:pt idx="3">
                  <c:v>0.15529999999999999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E1-4428-987F-57D8761345FA}"/>
            </c:ext>
          </c:extLst>
        </c:ser>
        <c:ser>
          <c:idx val="3"/>
          <c:order val="3"/>
          <c:tx>
            <c:strRef>
              <c:f>average!$A$6</c:f>
              <c:strCache>
                <c:ptCount val="1"/>
                <c:pt idx="0">
                  <c:v>prodia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(average!$D$1:$D$2,average!$G$1:$G$2,average!$J$1:$J$2,average!$M$1:$M$2)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(average!$D$6,average!$G$6,average!$J$6,average!$M$6)</c:f>
              <c:numCache>
                <c:formatCode>0.00%</c:formatCode>
                <c:ptCount val="4"/>
                <c:pt idx="0">
                  <c:v>0.2924090909090909</c:v>
                </c:pt>
                <c:pt idx="1">
                  <c:v>0.24072727272727273</c:v>
                </c:pt>
                <c:pt idx="2">
                  <c:v>0.31529999999999997</c:v>
                </c:pt>
                <c:pt idx="3">
                  <c:v>0.24977272727272729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E1-4428-987F-57D876134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865248"/>
        <c:axId val="944866688"/>
      </c:barChart>
      <c:catAx>
        <c:axId val="94486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866688"/>
        <c:crosses val="autoZero"/>
        <c:auto val="1"/>
        <c:lblAlgn val="ctr"/>
        <c:lblOffset val="100"/>
        <c:noMultiLvlLbl val="0"/>
      </c:catAx>
      <c:valAx>
        <c:axId val="9448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86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Recall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average!$A$3</c:f>
              <c:strCache>
                <c:ptCount val="1"/>
                <c:pt idx="0">
                  <c:v>alodokter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(average!$C$1:$C$2,average!$F$1:$F$2,average!$I$1:$I$2,average!$L$1:$L$2)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average!$B$3:$M$3</c15:sqref>
                  </c15:fullRef>
                </c:ext>
              </c:extLst>
              <c:f>(average!$C$3,average!$F$3,average!$I$3,average!$L$3)</c:f>
              <c:numCache>
                <c:formatCode>0.00%</c:formatCode>
                <c:ptCount val="4"/>
                <c:pt idx="0">
                  <c:v>0.25126363636363636</c:v>
                </c:pt>
                <c:pt idx="1">
                  <c:v>0.16666363636363635</c:v>
                </c:pt>
                <c:pt idx="2">
                  <c:v>0.28408181818181816</c:v>
                </c:pt>
                <c:pt idx="3">
                  <c:v>0.25630909090909088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0-45A5-AC5C-D165F7189772}"/>
            </c:ext>
          </c:extLst>
        </c:ser>
        <c:ser>
          <c:idx val="1"/>
          <c:order val="1"/>
          <c:tx>
            <c:strRef>
              <c:f>average!$A$4</c:f>
              <c:strCache>
                <c:ptCount val="1"/>
                <c:pt idx="0">
                  <c:v>halodoc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(average!$C$1:$C$2,average!$F$1:$F$2,average!$I$1:$I$2,average!$L$1:$L$2)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(average!$C$4,average!$F$4,average!$I$4,average!$L$4)</c:f>
              <c:numCache>
                <c:formatCode>0.00%</c:formatCode>
                <c:ptCount val="4"/>
                <c:pt idx="0">
                  <c:v>0.26992727272727268</c:v>
                </c:pt>
                <c:pt idx="1">
                  <c:v>0.50597272727272724</c:v>
                </c:pt>
                <c:pt idx="2">
                  <c:v>0.61596363636363627</c:v>
                </c:pt>
                <c:pt idx="3">
                  <c:v>0.39194545454545454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A0-45A5-AC5C-D165F7189772}"/>
            </c:ext>
          </c:extLst>
        </c:ser>
        <c:ser>
          <c:idx val="2"/>
          <c:order val="2"/>
          <c:tx>
            <c:strRef>
              <c:f>average!$A$5</c:f>
              <c:strCache>
                <c:ptCount val="1"/>
                <c:pt idx="0">
                  <c:v>linksehat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(average!$C$1:$C$2,average!$F$1:$F$2,average!$I$1:$I$2,average!$L$1:$L$2)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(average!$C$5,average!$F$5,average!$I$5,average!$L$5)</c:f>
              <c:numCache>
                <c:formatCode>0.00%</c:formatCode>
                <c:ptCount val="4"/>
                <c:pt idx="0">
                  <c:v>0.18932727272727276</c:v>
                </c:pt>
                <c:pt idx="1">
                  <c:v>0.14994545454545455</c:v>
                </c:pt>
                <c:pt idx="2">
                  <c:v>0.19417272727272727</c:v>
                </c:pt>
                <c:pt idx="3">
                  <c:v>0.27899999999999997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A0-45A5-AC5C-D165F7189772}"/>
            </c:ext>
          </c:extLst>
        </c:ser>
        <c:ser>
          <c:idx val="3"/>
          <c:order val="3"/>
          <c:tx>
            <c:strRef>
              <c:f>average!$A$6</c:f>
              <c:strCache>
                <c:ptCount val="1"/>
                <c:pt idx="0">
                  <c:v>prodia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(average!$C$1:$C$2,average!$F$1:$F$2,average!$I$1:$I$2,average!$L$1:$L$2)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(average!$C$6,average!$F$6,average!$I$6,average!$L$6)</c:f>
              <c:numCache>
                <c:formatCode>0.00%</c:formatCode>
                <c:ptCount val="4"/>
                <c:pt idx="0">
                  <c:v>0.29323636363636363</c:v>
                </c:pt>
                <c:pt idx="1">
                  <c:v>0.39555454545454544</c:v>
                </c:pt>
                <c:pt idx="2">
                  <c:v>0.50692727272727278</c:v>
                </c:pt>
                <c:pt idx="3">
                  <c:v>0.36371818181818177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A0-45A5-AC5C-D165F7189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865248"/>
        <c:axId val="944866688"/>
      </c:barChart>
      <c:catAx>
        <c:axId val="94486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866688"/>
        <c:crosses val="autoZero"/>
        <c:auto val="1"/>
        <c:lblAlgn val="ctr"/>
        <c:lblOffset val="100"/>
        <c:noMultiLvlLbl val="0"/>
      </c:catAx>
      <c:valAx>
        <c:axId val="9448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86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4</xdr:row>
      <xdr:rowOff>15240</xdr:rowOff>
    </xdr:from>
    <xdr:to>
      <xdr:col>14</xdr:col>
      <xdr:colOff>419100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3B7D-1BFE-C666-317A-E56084E15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304800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6E7D8B-6D91-4A44-9D72-067DAB75D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518160</xdr:colOff>
      <xdr:row>21</xdr:row>
      <xdr:rowOff>83820</xdr:rowOff>
    </xdr:from>
    <xdr:to>
      <xdr:col>15</xdr:col>
      <xdr:colOff>213360</xdr:colOff>
      <xdr:row>36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7BADE8-561A-4941-8AC8-9504CF893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0F8A-C9BB-49EF-B952-4717AD8E324E}">
  <dimension ref="A1:M6"/>
  <sheetViews>
    <sheetView tabSelected="1" workbookViewId="0">
      <selection activeCell="A3" sqref="A3:M6"/>
    </sheetView>
  </sheetViews>
  <sheetFormatPr defaultRowHeight="14.4" x14ac:dyDescent="0.3"/>
  <cols>
    <col min="1" max="1" width="15" bestFit="1" customWidth="1"/>
  </cols>
  <sheetData>
    <row r="1" spans="1:13" x14ac:dyDescent="0.3">
      <c r="A1" s="3"/>
      <c r="B1" s="5" t="s">
        <v>14</v>
      </c>
      <c r="C1" s="5"/>
      <c r="D1" s="5"/>
      <c r="E1" s="5" t="s">
        <v>15</v>
      </c>
      <c r="F1" s="5"/>
      <c r="G1" s="5"/>
      <c r="H1" s="5" t="s">
        <v>16</v>
      </c>
      <c r="I1" s="5"/>
      <c r="J1" s="5"/>
      <c r="K1" s="5" t="s">
        <v>17</v>
      </c>
      <c r="L1" s="5"/>
      <c r="M1" s="5"/>
    </row>
    <row r="2" spans="1:13" x14ac:dyDescent="0.3">
      <c r="A2" s="3"/>
      <c r="B2" s="3" t="s">
        <v>18</v>
      </c>
      <c r="C2" s="3" t="s">
        <v>19</v>
      </c>
      <c r="D2" s="3" t="s">
        <v>20</v>
      </c>
      <c r="E2" s="3" t="s">
        <v>18</v>
      </c>
      <c r="F2" s="3" t="s">
        <v>19</v>
      </c>
      <c r="G2" s="3" t="s">
        <v>20</v>
      </c>
      <c r="H2" s="3" t="s">
        <v>18</v>
      </c>
      <c r="I2" s="3" t="s">
        <v>19</v>
      </c>
      <c r="J2" s="3" t="s">
        <v>20</v>
      </c>
      <c r="K2" s="3" t="s">
        <v>18</v>
      </c>
      <c r="L2" s="3" t="s">
        <v>19</v>
      </c>
      <c r="M2" s="3" t="s">
        <v>20</v>
      </c>
    </row>
    <row r="3" spans="1:13" x14ac:dyDescent="0.3">
      <c r="A3" s="3" t="s">
        <v>21</v>
      </c>
      <c r="B3" s="4">
        <f>alodokter!C14</f>
        <v>0.20497272727272725</v>
      </c>
      <c r="C3" s="4">
        <f>alodokter!D14</f>
        <v>0.25126363636363636</v>
      </c>
      <c r="D3" s="4">
        <f>alodokter!E14</f>
        <v>0.16236363636363638</v>
      </c>
      <c r="E3" s="4">
        <f>alodokter!F14</f>
        <v>2.1009090909090908E-2</v>
      </c>
      <c r="F3" s="4">
        <f>alodokter!G14</f>
        <v>0.16666363636363635</v>
      </c>
      <c r="G3" s="4">
        <f>alodokter!H14</f>
        <v>3.4509090909090906E-2</v>
      </c>
      <c r="H3" s="4">
        <f>alodokter!I14</f>
        <v>0.11575454545454544</v>
      </c>
      <c r="I3" s="4">
        <f>alodokter!J14</f>
        <v>0.28408181818181816</v>
      </c>
      <c r="J3" s="4">
        <f>alodokter!K14</f>
        <v>0.13116363636363637</v>
      </c>
      <c r="K3" s="4">
        <f>alodokter!L14</f>
        <v>0.12314545454545454</v>
      </c>
      <c r="L3" s="4">
        <f>alodokter!M14</f>
        <v>0.25630909090909088</v>
      </c>
      <c r="M3" s="4">
        <f>alodokter!N14</f>
        <v>0.13946363636363637</v>
      </c>
    </row>
    <row r="4" spans="1:13" x14ac:dyDescent="0.3">
      <c r="A4" s="3" t="s">
        <v>22</v>
      </c>
      <c r="B4" s="4">
        <f>halodoc!C14</f>
        <v>0.3688909090909091</v>
      </c>
      <c r="C4" s="4">
        <f>halodoc!D14</f>
        <v>0.26992727272727268</v>
      </c>
      <c r="D4" s="4">
        <f>halodoc!E14</f>
        <v>0.21818181818181823</v>
      </c>
      <c r="E4" s="4">
        <f>halodoc!F14</f>
        <v>0.35473636363636363</v>
      </c>
      <c r="F4" s="4">
        <f>halodoc!G14</f>
        <v>0.50597272727272724</v>
      </c>
      <c r="G4" s="4">
        <f>halodoc!H14</f>
        <v>0.31102727272727271</v>
      </c>
      <c r="H4" s="4">
        <f>halodoc!I14</f>
        <v>0.35270909090909092</v>
      </c>
      <c r="I4" s="4">
        <f>halodoc!J14</f>
        <v>0.61596363636363627</v>
      </c>
      <c r="J4" s="4">
        <f>halodoc!K14</f>
        <v>0.33776363636363632</v>
      </c>
      <c r="K4" s="4">
        <f>halodoc!L14</f>
        <v>0.31725454545454546</v>
      </c>
      <c r="L4" s="4">
        <f>halodoc!M14</f>
        <v>0.39194545454545454</v>
      </c>
      <c r="M4" s="4">
        <f>halodoc!N14</f>
        <v>0.21746363636363639</v>
      </c>
    </row>
    <row r="5" spans="1:13" x14ac:dyDescent="0.3">
      <c r="A5" s="3" t="s">
        <v>23</v>
      </c>
      <c r="B5" s="4">
        <f>linksehat!C14</f>
        <v>0.15309999999999999</v>
      </c>
      <c r="C5" s="4">
        <f>linksehat!D14</f>
        <v>0.18932727272727276</v>
      </c>
      <c r="D5" s="4">
        <f>linksehat!E14</f>
        <v>0.14549999999999999</v>
      </c>
      <c r="E5" s="4">
        <f>linksehat!F14</f>
        <v>5.1836363636363639E-2</v>
      </c>
      <c r="F5" s="4">
        <f>linksehat!G14</f>
        <v>0.14994545454545455</v>
      </c>
      <c r="G5" s="4">
        <f>linksehat!H14</f>
        <v>5.8818181818181818E-2</v>
      </c>
      <c r="H5" s="4">
        <f>linksehat!I14</f>
        <v>0.13961818181818184</v>
      </c>
      <c r="I5" s="4">
        <f>linksehat!J14</f>
        <v>0.19417272727272727</v>
      </c>
      <c r="J5" s="4">
        <f>linksehat!K14</f>
        <v>0.14033636363636362</v>
      </c>
      <c r="K5" s="4">
        <f>linksehat!L14</f>
        <v>0.15243636363636365</v>
      </c>
      <c r="L5" s="4">
        <f>linksehat!M14</f>
        <v>0.27899999999999997</v>
      </c>
      <c r="M5" s="4">
        <f>linksehat!N14</f>
        <v>0.15529999999999999</v>
      </c>
    </row>
    <row r="6" spans="1:13" x14ac:dyDescent="0.3">
      <c r="A6" s="3" t="s">
        <v>24</v>
      </c>
      <c r="B6" s="4">
        <f>prodia!C14</f>
        <v>0.3562818181818182</v>
      </c>
      <c r="C6" s="4">
        <f>prodia!D14</f>
        <v>0.29323636363636363</v>
      </c>
      <c r="D6" s="4">
        <f>prodia!E14</f>
        <v>0.2924090909090909</v>
      </c>
      <c r="E6" s="4">
        <f>prodia!F14</f>
        <v>0.22029090909090909</v>
      </c>
      <c r="F6" s="4">
        <f>prodia!G14</f>
        <v>0.39555454545454544</v>
      </c>
      <c r="G6" s="4">
        <f>prodia!H14</f>
        <v>0.24072727272727273</v>
      </c>
      <c r="H6" s="4">
        <f>prodia!I14</f>
        <v>0.28534545454545457</v>
      </c>
      <c r="I6" s="4">
        <f>prodia!J14</f>
        <v>0.50692727272727278</v>
      </c>
      <c r="J6" s="4">
        <f>prodia!K14</f>
        <v>0.31529999999999997</v>
      </c>
      <c r="K6" s="4">
        <f>prodia!L14</f>
        <v>0.29457272727272726</v>
      </c>
      <c r="L6" s="4">
        <f>prodia!M14</f>
        <v>0.36371818181818177</v>
      </c>
      <c r="M6" s="4">
        <f>prodia!N14</f>
        <v>0.24977272727272729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4080-9216-41F8-8747-5B134773AF1D}">
  <dimension ref="A1:N14"/>
  <sheetViews>
    <sheetView workbookViewId="0">
      <selection activeCell="C14" sqref="C14:N14"/>
    </sheetView>
  </sheetViews>
  <sheetFormatPr defaultRowHeight="14.4" x14ac:dyDescent="0.3"/>
  <cols>
    <col min="1" max="1" width="3.33203125" bestFit="1" customWidth="1"/>
    <col min="2" max="2" width="48.21875" bestFit="1" customWidth="1"/>
  </cols>
  <sheetData>
    <row r="1" spans="1:14" x14ac:dyDescent="0.3">
      <c r="C1" s="6" t="s">
        <v>14</v>
      </c>
      <c r="D1" s="6"/>
      <c r="E1" s="6"/>
      <c r="F1" s="6" t="s">
        <v>15</v>
      </c>
      <c r="G1" s="6"/>
      <c r="H1" s="6"/>
      <c r="I1" s="6" t="s">
        <v>16</v>
      </c>
      <c r="J1" s="6"/>
      <c r="K1" s="6"/>
      <c r="L1" s="6" t="s">
        <v>17</v>
      </c>
      <c r="M1" s="6"/>
      <c r="N1" s="6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1</v>
      </c>
      <c r="D3" s="1">
        <v>0.25</v>
      </c>
      <c r="E3" s="1">
        <v>0.4</v>
      </c>
      <c r="F3" s="1">
        <v>0</v>
      </c>
      <c r="G3" s="1">
        <v>0</v>
      </c>
      <c r="H3" s="1">
        <v>0</v>
      </c>
      <c r="I3" s="1">
        <v>2.5000000000000001E-2</v>
      </c>
      <c r="J3" s="1">
        <v>0.25</v>
      </c>
      <c r="K3" s="1">
        <v>4.5499999999999999E-2</v>
      </c>
      <c r="L3" s="1">
        <v>7.6899999999999996E-2</v>
      </c>
      <c r="M3" s="1">
        <v>0.25</v>
      </c>
      <c r="N3" s="1">
        <v>0.1176</v>
      </c>
    </row>
    <row r="4" spans="1:14" x14ac:dyDescent="0.3">
      <c r="A4">
        <v>2</v>
      </c>
      <c r="B4" t="s">
        <v>3</v>
      </c>
      <c r="C4" s="1">
        <v>7.4099999999999999E-2</v>
      </c>
      <c r="D4" s="1">
        <v>1</v>
      </c>
      <c r="E4" s="1">
        <v>0.13789999999999999</v>
      </c>
      <c r="F4" s="1">
        <v>3.1300000000000001E-2</v>
      </c>
      <c r="G4" s="1">
        <v>1</v>
      </c>
      <c r="H4" s="1">
        <v>6.0600000000000001E-2</v>
      </c>
      <c r="I4" s="1">
        <v>3.39E-2</v>
      </c>
      <c r="J4" s="1">
        <v>1</v>
      </c>
      <c r="K4" s="1">
        <v>6.5600000000000006E-2</v>
      </c>
      <c r="L4" s="1">
        <v>5.8799999999999998E-2</v>
      </c>
      <c r="M4" s="1">
        <v>1</v>
      </c>
      <c r="N4" s="1">
        <v>0.1111</v>
      </c>
    </row>
    <row r="5" spans="1:14" x14ac:dyDescent="0.3">
      <c r="A5">
        <v>3</v>
      </c>
      <c r="B5" t="s">
        <v>4</v>
      </c>
      <c r="C5" s="1">
        <v>6.25E-2</v>
      </c>
      <c r="D5" s="1">
        <v>0.33329999999999999</v>
      </c>
      <c r="E5" s="1">
        <v>0.1053</v>
      </c>
      <c r="F5" s="1">
        <v>5.5599999999999997E-2</v>
      </c>
      <c r="G5" s="1">
        <v>0.33329999999999999</v>
      </c>
      <c r="H5" s="1">
        <v>9.5200000000000007E-2</v>
      </c>
      <c r="I5" s="1">
        <v>3.3300000000000003E-2</v>
      </c>
      <c r="J5" s="1">
        <v>0.33329999999999999</v>
      </c>
      <c r="K5" s="1">
        <v>6.0600000000000001E-2</v>
      </c>
      <c r="L5" s="1">
        <v>8.3299999999999999E-2</v>
      </c>
      <c r="M5" s="1">
        <v>0.33329999999999999</v>
      </c>
      <c r="N5" s="1">
        <v>0.1333</v>
      </c>
    </row>
    <row r="6" spans="1:14" x14ac:dyDescent="0.3">
      <c r="A6">
        <v>4</v>
      </c>
      <c r="B6" t="s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">
      <c r="A7">
        <v>5</v>
      </c>
      <c r="B7" t="s">
        <v>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 x14ac:dyDescent="0.3">
      <c r="A8">
        <v>6</v>
      </c>
      <c r="B8" t="s">
        <v>7</v>
      </c>
      <c r="C8" s="1">
        <v>3.6999999999999998E-2</v>
      </c>
      <c r="D8" s="1">
        <v>5.5599999999999997E-2</v>
      </c>
      <c r="E8" s="1">
        <v>4.4400000000000002E-2</v>
      </c>
      <c r="F8" s="1">
        <v>9.2299999999999993E-2</v>
      </c>
      <c r="G8" s="1">
        <v>0.33329999999999999</v>
      </c>
      <c r="H8" s="1">
        <v>0.14460000000000001</v>
      </c>
      <c r="I8" s="1">
        <v>0.1053</v>
      </c>
      <c r="J8" s="1">
        <v>0.33329999999999999</v>
      </c>
      <c r="K8" s="1">
        <v>0.16</v>
      </c>
      <c r="L8" s="1">
        <v>6.0600000000000001E-2</v>
      </c>
      <c r="M8" s="1">
        <v>0.1111</v>
      </c>
      <c r="N8" s="1">
        <v>7.8399999999999997E-2</v>
      </c>
    </row>
    <row r="9" spans="1:14" x14ac:dyDescent="0.3">
      <c r="A9">
        <v>7</v>
      </c>
      <c r="B9" t="s">
        <v>8</v>
      </c>
      <c r="C9" s="1">
        <v>8.1100000000000005E-2</v>
      </c>
      <c r="D9" s="1">
        <v>0.125</v>
      </c>
      <c r="E9" s="1">
        <v>9.8400000000000001E-2</v>
      </c>
      <c r="F9" s="1">
        <v>5.1900000000000002E-2</v>
      </c>
      <c r="G9" s="1">
        <v>0.16669999999999999</v>
      </c>
      <c r="H9" s="1">
        <v>7.9200000000000007E-2</v>
      </c>
      <c r="I9" s="1">
        <v>7.5800000000000006E-2</v>
      </c>
      <c r="J9" s="1">
        <v>0.20830000000000001</v>
      </c>
      <c r="K9" s="1">
        <v>0.1111</v>
      </c>
      <c r="L9" s="1">
        <v>7.4999999999999997E-2</v>
      </c>
      <c r="M9" s="1">
        <v>0.125</v>
      </c>
      <c r="N9" s="1">
        <v>9.3700000000000006E-2</v>
      </c>
    </row>
    <row r="10" spans="1:14" x14ac:dyDescent="0.3">
      <c r="A10">
        <v>8</v>
      </c>
      <c r="B10" t="s">
        <v>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1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</row>
    <row r="13" spans="1:14" x14ac:dyDescent="0.3">
      <c r="A13">
        <v>11</v>
      </c>
      <c r="B13" t="s">
        <v>12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3">
      <c r="A14" s="6" t="s">
        <v>13</v>
      </c>
      <c r="B14" s="6"/>
      <c r="C14" s="2">
        <f>AVERAGE(C3:C13)</f>
        <v>0.20497272727272725</v>
      </c>
      <c r="D14" s="2">
        <f t="shared" ref="D14:N14" si="0">AVERAGE(D3:D13)</f>
        <v>0.25126363636363636</v>
      </c>
      <c r="E14" s="2">
        <f t="shared" si="0"/>
        <v>0.16236363636363638</v>
      </c>
      <c r="F14" s="2">
        <f t="shared" si="0"/>
        <v>2.1009090909090908E-2</v>
      </c>
      <c r="G14" s="2">
        <f t="shared" si="0"/>
        <v>0.16666363636363635</v>
      </c>
      <c r="H14" s="2">
        <f t="shared" si="0"/>
        <v>3.4509090909090906E-2</v>
      </c>
      <c r="I14" s="2">
        <f t="shared" si="0"/>
        <v>0.11575454545454544</v>
      </c>
      <c r="J14" s="2">
        <f t="shared" si="0"/>
        <v>0.28408181818181816</v>
      </c>
      <c r="K14" s="2">
        <f t="shared" si="0"/>
        <v>0.13116363636363637</v>
      </c>
      <c r="L14" s="2">
        <f t="shared" si="0"/>
        <v>0.12314545454545454</v>
      </c>
      <c r="M14" s="2">
        <f t="shared" si="0"/>
        <v>0.25630909090909088</v>
      </c>
      <c r="N14" s="2">
        <f t="shared" si="0"/>
        <v>0.13946363636363637</v>
      </c>
    </row>
  </sheetData>
  <mergeCells count="5">
    <mergeCell ref="A14:B14"/>
    <mergeCell ref="C1:E1"/>
    <mergeCell ref="F1:H1"/>
    <mergeCell ref="I1:K1"/>
    <mergeCell ref="L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0E04-59DC-4529-BF8E-ECB21C3D0BFF}">
  <dimension ref="A1:N14"/>
  <sheetViews>
    <sheetView workbookViewId="0">
      <selection activeCell="C14" sqref="C14:N14"/>
    </sheetView>
  </sheetViews>
  <sheetFormatPr defaultRowHeight="14.4" x14ac:dyDescent="0.3"/>
  <cols>
    <col min="1" max="1" width="3.33203125" bestFit="1" customWidth="1"/>
    <col min="2" max="2" width="48.21875" bestFit="1" customWidth="1"/>
  </cols>
  <sheetData>
    <row r="1" spans="1:14" x14ac:dyDescent="0.3">
      <c r="C1" s="6" t="s">
        <v>14</v>
      </c>
      <c r="D1" s="6"/>
      <c r="E1" s="6"/>
      <c r="F1" s="6" t="s">
        <v>15</v>
      </c>
      <c r="G1" s="6"/>
      <c r="H1" s="6"/>
      <c r="I1" s="6" t="s">
        <v>16</v>
      </c>
      <c r="J1" s="6"/>
      <c r="K1" s="6"/>
      <c r="L1" s="6" t="s">
        <v>17</v>
      </c>
      <c r="M1" s="6"/>
      <c r="N1" s="6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</v>
      </c>
      <c r="D3" s="1">
        <v>0</v>
      </c>
      <c r="E3" s="1">
        <v>0</v>
      </c>
      <c r="F3" s="1">
        <v>7.6899999999999996E-2</v>
      </c>
      <c r="G3" s="1">
        <v>1</v>
      </c>
      <c r="H3" s="1">
        <v>0.1429</v>
      </c>
      <c r="I3" s="1">
        <v>7.5499999999999998E-2</v>
      </c>
      <c r="J3" s="1">
        <v>1</v>
      </c>
      <c r="K3" s="1">
        <v>0.1404</v>
      </c>
      <c r="L3" s="1">
        <v>8.3299999999999999E-2</v>
      </c>
      <c r="M3" s="1">
        <v>1</v>
      </c>
      <c r="N3" s="1">
        <v>0.15379999999999999</v>
      </c>
    </row>
    <row r="4" spans="1:14" x14ac:dyDescent="0.3">
      <c r="A4">
        <v>2</v>
      </c>
      <c r="B4" t="s">
        <v>3</v>
      </c>
      <c r="C4" s="1">
        <v>0.38890000000000002</v>
      </c>
      <c r="D4" s="1">
        <v>0.4118</v>
      </c>
      <c r="E4" s="1">
        <v>0.4</v>
      </c>
      <c r="F4" s="1">
        <v>9.8000000000000004E-2</v>
      </c>
      <c r="G4" s="1">
        <v>0.29409999999999997</v>
      </c>
      <c r="H4" s="1">
        <v>0.14710000000000001</v>
      </c>
      <c r="I4" s="1">
        <v>0.20250000000000001</v>
      </c>
      <c r="J4" s="1">
        <v>0.94120000000000004</v>
      </c>
      <c r="K4" s="1">
        <v>0.33329999999999999</v>
      </c>
      <c r="L4" s="1">
        <v>9.8599999999999993E-2</v>
      </c>
      <c r="M4" s="1">
        <v>0.4118</v>
      </c>
      <c r="N4" s="1">
        <v>0.15909999999999999</v>
      </c>
    </row>
    <row r="5" spans="1:14" x14ac:dyDescent="0.3">
      <c r="A5">
        <v>3</v>
      </c>
      <c r="B5" t="s">
        <v>4</v>
      </c>
      <c r="C5" s="1">
        <v>0.1111</v>
      </c>
      <c r="D5" s="1">
        <v>1</v>
      </c>
      <c r="E5" s="1">
        <v>0.2</v>
      </c>
      <c r="F5" s="1">
        <v>2.4400000000000002E-2</v>
      </c>
      <c r="G5" s="1">
        <v>1</v>
      </c>
      <c r="H5" s="1">
        <v>4.7600000000000003E-2</v>
      </c>
      <c r="I5" s="1">
        <v>2.3300000000000001E-2</v>
      </c>
      <c r="J5" s="1">
        <v>1</v>
      </c>
      <c r="K5" s="1">
        <v>4.5499999999999999E-2</v>
      </c>
      <c r="L5" s="1">
        <v>3.0300000000000001E-2</v>
      </c>
      <c r="M5" s="1">
        <v>1</v>
      </c>
      <c r="N5" s="1">
        <v>5.8799999999999998E-2</v>
      </c>
    </row>
    <row r="6" spans="1:14" x14ac:dyDescent="0.3">
      <c r="A6">
        <v>4</v>
      </c>
      <c r="B6" t="s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">
      <c r="A7">
        <v>5</v>
      </c>
      <c r="B7" t="s">
        <v>6</v>
      </c>
      <c r="C7" s="1">
        <v>0.28570000000000001</v>
      </c>
      <c r="D7" s="1">
        <v>0.2</v>
      </c>
      <c r="E7" s="1">
        <v>0.23530000000000001</v>
      </c>
      <c r="F7" s="1">
        <v>0.58819999999999995</v>
      </c>
      <c r="G7" s="1">
        <v>1</v>
      </c>
      <c r="H7" s="1">
        <v>0.74070000000000003</v>
      </c>
      <c r="I7" s="1">
        <v>0.43480000000000002</v>
      </c>
      <c r="J7" s="1">
        <v>1</v>
      </c>
      <c r="K7" s="1">
        <v>0.60609999999999997</v>
      </c>
      <c r="L7" s="1">
        <v>0.65380000000000005</v>
      </c>
      <c r="M7" s="1">
        <v>0.85</v>
      </c>
      <c r="N7" s="1">
        <v>0.73909999999999998</v>
      </c>
    </row>
    <row r="8" spans="1:14" x14ac:dyDescent="0.3">
      <c r="A8">
        <v>6</v>
      </c>
      <c r="B8" t="s">
        <v>7</v>
      </c>
      <c r="C8" s="1">
        <v>0.65</v>
      </c>
      <c r="D8" s="1">
        <v>3.04E-2</v>
      </c>
      <c r="E8" s="1">
        <v>5.8200000000000002E-2</v>
      </c>
      <c r="F8" s="1">
        <v>0.72289999999999999</v>
      </c>
      <c r="G8" s="1">
        <v>0.14050000000000001</v>
      </c>
      <c r="H8" s="1">
        <v>0.23530000000000001</v>
      </c>
      <c r="I8" s="1">
        <v>0.68059999999999998</v>
      </c>
      <c r="J8" s="1">
        <v>0.1148</v>
      </c>
      <c r="K8" s="1">
        <v>0.19639999999999999</v>
      </c>
      <c r="L8" s="1">
        <v>0.65710000000000002</v>
      </c>
      <c r="M8" s="1">
        <v>5.3900000000000003E-2</v>
      </c>
      <c r="N8" s="1">
        <v>9.9599999999999994E-2</v>
      </c>
    </row>
    <row r="9" spans="1:14" x14ac:dyDescent="0.3">
      <c r="A9">
        <v>7</v>
      </c>
      <c r="B9" t="s">
        <v>8</v>
      </c>
      <c r="C9" s="1">
        <v>0.44440000000000002</v>
      </c>
      <c r="D9" s="1">
        <v>5.8799999999999998E-2</v>
      </c>
      <c r="E9" s="1">
        <v>0.10390000000000001</v>
      </c>
      <c r="F9" s="1">
        <v>0.4138</v>
      </c>
      <c r="G9" s="1">
        <v>0.26469999999999999</v>
      </c>
      <c r="H9" s="1">
        <v>0.32290000000000002</v>
      </c>
      <c r="I9" s="1">
        <v>0.32950000000000002</v>
      </c>
      <c r="J9" s="1">
        <v>0.2132</v>
      </c>
      <c r="K9" s="1">
        <v>0.25890000000000002</v>
      </c>
      <c r="L9" s="1">
        <v>0.34089999999999998</v>
      </c>
      <c r="M9" s="1">
        <v>0.1103</v>
      </c>
      <c r="N9" s="1">
        <v>0.16669999999999999</v>
      </c>
    </row>
    <row r="10" spans="1:14" x14ac:dyDescent="0.3">
      <c r="A10">
        <v>8</v>
      </c>
      <c r="B10" t="s">
        <v>9</v>
      </c>
      <c r="C10" s="1">
        <v>0.33329999999999999</v>
      </c>
      <c r="D10" s="1">
        <v>0.1017</v>
      </c>
      <c r="E10" s="1">
        <v>0.15579999999999999</v>
      </c>
      <c r="F10" s="1">
        <v>1</v>
      </c>
      <c r="G10" s="1">
        <v>1</v>
      </c>
      <c r="H10" s="1">
        <v>1</v>
      </c>
      <c r="I10" s="1">
        <v>0.4773</v>
      </c>
      <c r="J10" s="1">
        <v>0.71189999999999998</v>
      </c>
      <c r="K10" s="1">
        <v>0.57140000000000002</v>
      </c>
      <c r="L10" s="1">
        <v>0.47220000000000001</v>
      </c>
      <c r="M10" s="1">
        <v>0.28810000000000002</v>
      </c>
      <c r="N10" s="1">
        <v>0.3579</v>
      </c>
    </row>
    <row r="11" spans="1:14" x14ac:dyDescent="0.3">
      <c r="A11">
        <v>9</v>
      </c>
      <c r="B11" t="s">
        <v>10</v>
      </c>
      <c r="C11" s="1">
        <v>0.44440000000000002</v>
      </c>
      <c r="D11" s="1">
        <v>1.2699999999999999E-2</v>
      </c>
      <c r="E11" s="1">
        <v>2.46E-2</v>
      </c>
      <c r="F11" s="1">
        <v>0.36249999999999999</v>
      </c>
      <c r="G11" s="1">
        <v>4.5900000000000003E-2</v>
      </c>
      <c r="H11" s="1">
        <v>8.1500000000000003E-2</v>
      </c>
      <c r="I11" s="1">
        <v>0.26669999999999999</v>
      </c>
      <c r="J11" s="1">
        <v>2.53E-2</v>
      </c>
      <c r="K11" s="1">
        <v>4.6199999999999998E-2</v>
      </c>
      <c r="L11" s="1">
        <v>0.52500000000000002</v>
      </c>
      <c r="M11" s="1">
        <v>3.32E-2</v>
      </c>
      <c r="N11" s="1">
        <v>6.25E-2</v>
      </c>
    </row>
    <row r="12" spans="1:14" x14ac:dyDescent="0.3">
      <c r="A12">
        <v>10</v>
      </c>
      <c r="B12" t="s">
        <v>11</v>
      </c>
      <c r="C12" s="1">
        <v>1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1</v>
      </c>
      <c r="L12" s="1">
        <v>0</v>
      </c>
      <c r="M12" s="1">
        <v>0</v>
      </c>
      <c r="N12" s="1">
        <v>0</v>
      </c>
    </row>
    <row r="13" spans="1:14" x14ac:dyDescent="0.3">
      <c r="A13">
        <v>11</v>
      </c>
      <c r="B13" t="s">
        <v>12</v>
      </c>
      <c r="C13" s="1">
        <v>0.4</v>
      </c>
      <c r="D13" s="1">
        <v>0.15379999999999999</v>
      </c>
      <c r="E13" s="1">
        <v>0.22220000000000001</v>
      </c>
      <c r="F13" s="1">
        <v>0.61539999999999995</v>
      </c>
      <c r="G13" s="1">
        <v>0.82050000000000001</v>
      </c>
      <c r="H13" s="1">
        <v>0.70330000000000004</v>
      </c>
      <c r="I13" s="1">
        <v>0.3896</v>
      </c>
      <c r="J13" s="1">
        <v>0.76919999999999999</v>
      </c>
      <c r="K13" s="1">
        <v>0.51719999999999999</v>
      </c>
      <c r="L13" s="1">
        <v>0.62860000000000005</v>
      </c>
      <c r="M13" s="1">
        <v>0.56410000000000005</v>
      </c>
      <c r="N13" s="1">
        <v>0.59460000000000002</v>
      </c>
    </row>
    <row r="14" spans="1:14" x14ac:dyDescent="0.3">
      <c r="A14" s="6" t="s">
        <v>13</v>
      </c>
      <c r="B14" s="6"/>
      <c r="C14" s="2">
        <f>AVERAGE(C3:C13)</f>
        <v>0.3688909090909091</v>
      </c>
      <c r="D14" s="2">
        <f t="shared" ref="D14:N14" si="0">AVERAGE(D3:D13)</f>
        <v>0.26992727272727268</v>
      </c>
      <c r="E14" s="2">
        <f t="shared" si="0"/>
        <v>0.21818181818181823</v>
      </c>
      <c r="F14" s="2">
        <f t="shared" si="0"/>
        <v>0.35473636363636363</v>
      </c>
      <c r="G14" s="2">
        <f t="shared" si="0"/>
        <v>0.50597272727272724</v>
      </c>
      <c r="H14" s="2">
        <f t="shared" si="0"/>
        <v>0.31102727272727271</v>
      </c>
      <c r="I14" s="2">
        <f t="shared" si="0"/>
        <v>0.35270909090909092</v>
      </c>
      <c r="J14" s="2">
        <f t="shared" si="0"/>
        <v>0.61596363636363627</v>
      </c>
      <c r="K14" s="2">
        <f t="shared" si="0"/>
        <v>0.33776363636363632</v>
      </c>
      <c r="L14" s="2">
        <f t="shared" si="0"/>
        <v>0.31725454545454546</v>
      </c>
      <c r="M14" s="2">
        <f t="shared" si="0"/>
        <v>0.39194545454545454</v>
      </c>
      <c r="N14" s="2">
        <f t="shared" si="0"/>
        <v>0.21746363636363639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29D3-CBC9-47AB-BA75-E160A3C58BDF}">
  <dimension ref="A1:N14"/>
  <sheetViews>
    <sheetView topLeftCell="B1" workbookViewId="0">
      <selection activeCell="C14" sqref="C14:N14"/>
    </sheetView>
  </sheetViews>
  <sheetFormatPr defaultRowHeight="14.4" x14ac:dyDescent="0.3"/>
  <cols>
    <col min="2" max="2" width="48.21875" bestFit="1" customWidth="1"/>
  </cols>
  <sheetData>
    <row r="1" spans="1:14" x14ac:dyDescent="0.3">
      <c r="C1" s="6" t="s">
        <v>14</v>
      </c>
      <c r="D1" s="6"/>
      <c r="E1" s="6"/>
      <c r="F1" s="6" t="s">
        <v>15</v>
      </c>
      <c r="G1" s="6"/>
      <c r="H1" s="6"/>
      <c r="I1" s="6" t="s">
        <v>16</v>
      </c>
      <c r="J1" s="6"/>
      <c r="K1" s="6"/>
      <c r="L1" s="6" t="s">
        <v>17</v>
      </c>
      <c r="M1" s="6"/>
      <c r="N1" s="6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x14ac:dyDescent="0.3">
      <c r="A4">
        <v>2</v>
      </c>
      <c r="B4" t="s">
        <v>3</v>
      </c>
      <c r="C4" s="1">
        <v>6.25E-2</v>
      </c>
      <c r="D4" s="1">
        <v>0.66669999999999996</v>
      </c>
      <c r="E4" s="1">
        <v>0.1143</v>
      </c>
      <c r="F4" s="1">
        <v>3.1300000000000001E-2</v>
      </c>
      <c r="G4" s="1">
        <v>1</v>
      </c>
      <c r="H4" s="1">
        <v>6.0600000000000001E-2</v>
      </c>
      <c r="I4" s="1">
        <v>3.3300000000000003E-2</v>
      </c>
      <c r="J4" s="1">
        <v>0.66669999999999996</v>
      </c>
      <c r="K4" s="1">
        <v>6.3500000000000001E-2</v>
      </c>
      <c r="L4" s="1">
        <v>3.2300000000000002E-2</v>
      </c>
      <c r="M4" s="1">
        <v>0.66669999999999996</v>
      </c>
      <c r="N4" s="1">
        <v>6.1499999999999999E-2</v>
      </c>
    </row>
    <row r="5" spans="1:14" x14ac:dyDescent="0.3">
      <c r="A5">
        <v>3</v>
      </c>
      <c r="B5" t="s">
        <v>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0.1111</v>
      </c>
      <c r="M5" s="1">
        <v>1</v>
      </c>
      <c r="N5" s="1">
        <v>0.2</v>
      </c>
    </row>
    <row r="6" spans="1:14" x14ac:dyDescent="0.3">
      <c r="A6">
        <v>4</v>
      </c>
      <c r="B6" t="s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">
      <c r="A7">
        <v>5</v>
      </c>
      <c r="B7" t="s">
        <v>6</v>
      </c>
      <c r="C7" s="1">
        <v>0.1923</v>
      </c>
      <c r="D7" s="1">
        <v>9.2600000000000002E-2</v>
      </c>
      <c r="E7" s="1">
        <v>0.125</v>
      </c>
      <c r="F7" s="1">
        <v>0.17860000000000001</v>
      </c>
      <c r="G7" s="1">
        <v>0.1852</v>
      </c>
      <c r="H7" s="1">
        <v>0.18179999999999999</v>
      </c>
      <c r="I7" s="1">
        <v>0.1429</v>
      </c>
      <c r="J7" s="1">
        <v>0.1111</v>
      </c>
      <c r="K7" s="1">
        <v>0.125</v>
      </c>
      <c r="L7" s="1">
        <v>0.18179999999999999</v>
      </c>
      <c r="M7" s="1">
        <v>0.14810000000000001</v>
      </c>
      <c r="N7" s="1">
        <v>0.1633</v>
      </c>
    </row>
    <row r="8" spans="1:14" x14ac:dyDescent="0.3">
      <c r="A8">
        <v>6</v>
      </c>
      <c r="B8" t="s">
        <v>7</v>
      </c>
      <c r="C8" s="1">
        <v>0.125</v>
      </c>
      <c r="D8" s="1">
        <v>5.4100000000000002E-2</v>
      </c>
      <c r="E8" s="1">
        <v>7.5499999999999998E-2</v>
      </c>
      <c r="F8" s="1">
        <v>0.15479999999999999</v>
      </c>
      <c r="G8" s="1">
        <v>0.1757</v>
      </c>
      <c r="H8" s="1">
        <v>0.1646</v>
      </c>
      <c r="I8" s="1">
        <v>0.1429</v>
      </c>
      <c r="J8" s="1">
        <v>0.1081</v>
      </c>
      <c r="K8" s="1">
        <v>0.1231</v>
      </c>
      <c r="L8" s="1">
        <v>0.18179999999999999</v>
      </c>
      <c r="M8" s="1">
        <v>8.1100000000000005E-2</v>
      </c>
      <c r="N8" s="1">
        <v>0.11210000000000001</v>
      </c>
    </row>
    <row r="9" spans="1:14" x14ac:dyDescent="0.3">
      <c r="A9">
        <v>7</v>
      </c>
      <c r="B9" t="s">
        <v>8</v>
      </c>
      <c r="C9" s="1">
        <v>0.30430000000000001</v>
      </c>
      <c r="D9" s="1">
        <v>0.26919999999999999</v>
      </c>
      <c r="E9" s="1">
        <v>0.28570000000000001</v>
      </c>
      <c r="F9" s="1">
        <v>0.20549999999999999</v>
      </c>
      <c r="G9" s="1">
        <v>0.28849999999999998</v>
      </c>
      <c r="H9" s="1">
        <v>0.24</v>
      </c>
      <c r="I9" s="1">
        <v>0.2167</v>
      </c>
      <c r="J9" s="1">
        <v>0.25</v>
      </c>
      <c r="K9" s="1">
        <v>0.2321</v>
      </c>
      <c r="L9" s="1">
        <v>0.16980000000000001</v>
      </c>
      <c r="M9" s="1">
        <v>0.1731</v>
      </c>
      <c r="N9" s="1">
        <v>0.1714</v>
      </c>
    </row>
    <row r="10" spans="1:14" x14ac:dyDescent="0.3">
      <c r="A10">
        <v>8</v>
      </c>
      <c r="B10" t="s">
        <v>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1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</row>
    <row r="13" spans="1:14" x14ac:dyDescent="0.3">
      <c r="A13">
        <v>11</v>
      </c>
      <c r="B13" t="s">
        <v>12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3">
      <c r="A14" s="6" t="s">
        <v>13</v>
      </c>
      <c r="B14" s="6"/>
      <c r="C14" s="2">
        <f>AVERAGE(C3:C13)</f>
        <v>0.15309999999999999</v>
      </c>
      <c r="D14" s="2">
        <f t="shared" ref="D14:N14" si="0">AVERAGE(D3:D13)</f>
        <v>0.18932727272727276</v>
      </c>
      <c r="E14" s="2">
        <f t="shared" si="0"/>
        <v>0.14549999999999999</v>
      </c>
      <c r="F14" s="2">
        <f t="shared" si="0"/>
        <v>5.1836363636363639E-2</v>
      </c>
      <c r="G14" s="2">
        <f t="shared" si="0"/>
        <v>0.14994545454545455</v>
      </c>
      <c r="H14" s="2">
        <f t="shared" si="0"/>
        <v>5.8818181818181818E-2</v>
      </c>
      <c r="I14" s="2">
        <f t="shared" si="0"/>
        <v>0.13961818181818184</v>
      </c>
      <c r="J14" s="2">
        <f t="shared" si="0"/>
        <v>0.19417272727272727</v>
      </c>
      <c r="K14" s="2">
        <f t="shared" si="0"/>
        <v>0.14033636363636362</v>
      </c>
      <c r="L14" s="2">
        <f t="shared" si="0"/>
        <v>0.15243636363636365</v>
      </c>
      <c r="M14" s="2">
        <f t="shared" si="0"/>
        <v>0.27899999999999997</v>
      </c>
      <c r="N14" s="2">
        <f t="shared" si="0"/>
        <v>0.15529999999999999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441C-5682-4F5C-B8CF-C2F8C5F0E58F}">
  <dimension ref="A1:N14"/>
  <sheetViews>
    <sheetView workbookViewId="0">
      <selection activeCell="C14" sqref="C14:N14"/>
    </sheetView>
  </sheetViews>
  <sheetFormatPr defaultRowHeight="14.4" x14ac:dyDescent="0.3"/>
  <cols>
    <col min="2" max="2" width="48.21875" bestFit="1" customWidth="1"/>
  </cols>
  <sheetData>
    <row r="1" spans="1:14" x14ac:dyDescent="0.3">
      <c r="C1" s="6" t="s">
        <v>14</v>
      </c>
      <c r="D1" s="6"/>
      <c r="E1" s="6"/>
      <c r="F1" s="6" t="s">
        <v>15</v>
      </c>
      <c r="G1" s="6"/>
      <c r="H1" s="6"/>
      <c r="I1" s="6" t="s">
        <v>16</v>
      </c>
      <c r="J1" s="6"/>
      <c r="K1" s="6"/>
      <c r="L1" s="6" t="s">
        <v>17</v>
      </c>
      <c r="M1" s="6"/>
      <c r="N1" s="6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0.45450000000000002</v>
      </c>
      <c r="D3" s="1">
        <v>1</v>
      </c>
      <c r="E3" s="1">
        <v>0.625</v>
      </c>
      <c r="F3" s="1">
        <v>0.2273</v>
      </c>
      <c r="G3" s="1">
        <v>1</v>
      </c>
      <c r="H3" s="1">
        <v>0.37040000000000001</v>
      </c>
      <c r="I3" s="1">
        <v>0.3125</v>
      </c>
      <c r="J3" s="1">
        <v>1</v>
      </c>
      <c r="K3" s="1">
        <v>0.47620000000000001</v>
      </c>
      <c r="L3" s="1">
        <v>0.20830000000000001</v>
      </c>
      <c r="M3" s="1">
        <v>1</v>
      </c>
      <c r="N3" s="1">
        <v>0.3448</v>
      </c>
    </row>
    <row r="4" spans="1:14" x14ac:dyDescent="0.3">
      <c r="A4">
        <v>2</v>
      </c>
      <c r="B4" t="s">
        <v>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9.7999999999999997E-3</v>
      </c>
      <c r="J4" s="1">
        <v>0.5</v>
      </c>
      <c r="K4" s="1">
        <v>1.9199999999999998E-2</v>
      </c>
      <c r="L4" s="1">
        <v>4.8800000000000003E-2</v>
      </c>
      <c r="M4" s="1">
        <v>1</v>
      </c>
      <c r="N4" s="1">
        <v>9.2999999999999999E-2</v>
      </c>
    </row>
    <row r="5" spans="1:14" x14ac:dyDescent="0.3">
      <c r="A5">
        <v>3</v>
      </c>
      <c r="B5" t="s">
        <v>4</v>
      </c>
      <c r="C5" s="1">
        <v>0</v>
      </c>
      <c r="D5" s="1">
        <v>0</v>
      </c>
      <c r="E5" s="1">
        <v>0</v>
      </c>
      <c r="F5" s="1">
        <v>4.1700000000000001E-2</v>
      </c>
      <c r="G5" s="1">
        <v>1</v>
      </c>
      <c r="H5" s="1">
        <v>0.08</v>
      </c>
      <c r="I5" s="1">
        <v>6.4500000000000002E-2</v>
      </c>
      <c r="J5" s="1">
        <v>1</v>
      </c>
      <c r="K5" s="1">
        <v>0.1212</v>
      </c>
      <c r="L5" s="1">
        <v>0</v>
      </c>
      <c r="M5" s="1">
        <v>0</v>
      </c>
      <c r="N5" s="1">
        <v>0</v>
      </c>
    </row>
    <row r="6" spans="1:14" x14ac:dyDescent="0.3">
      <c r="A6">
        <v>4</v>
      </c>
      <c r="B6" t="s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">
      <c r="A7">
        <v>5</v>
      </c>
      <c r="B7" t="s">
        <v>6</v>
      </c>
      <c r="C7" s="1">
        <v>0.84</v>
      </c>
      <c r="D7" s="1">
        <v>0.25609999999999999</v>
      </c>
      <c r="E7" s="1">
        <v>0.39250000000000002</v>
      </c>
      <c r="F7" s="1">
        <v>0.43140000000000001</v>
      </c>
      <c r="G7" s="1">
        <v>0.26829999999999998</v>
      </c>
      <c r="H7" s="1">
        <v>0.33079999999999998</v>
      </c>
      <c r="I7" s="1">
        <v>0.1053</v>
      </c>
      <c r="J7" s="1">
        <v>7.3200000000000001E-2</v>
      </c>
      <c r="K7" s="1">
        <v>8.6300000000000002E-2</v>
      </c>
      <c r="L7" s="1">
        <v>0.87880000000000003</v>
      </c>
      <c r="M7" s="1">
        <v>0.35370000000000001</v>
      </c>
      <c r="N7" s="1">
        <v>0.50429999999999997</v>
      </c>
    </row>
    <row r="8" spans="1:14" x14ac:dyDescent="0.3">
      <c r="A8">
        <v>6</v>
      </c>
      <c r="B8" t="s">
        <v>7</v>
      </c>
      <c r="C8" s="1">
        <v>0.15790000000000001</v>
      </c>
      <c r="D8" s="1">
        <v>8.1100000000000005E-2</v>
      </c>
      <c r="E8" s="1">
        <v>0.1071</v>
      </c>
      <c r="F8" s="1">
        <v>0.38529999999999998</v>
      </c>
      <c r="G8" s="1">
        <v>0.56759999999999999</v>
      </c>
      <c r="H8" s="1">
        <v>0.45900000000000002</v>
      </c>
      <c r="I8" s="1">
        <v>0.34849999999999998</v>
      </c>
      <c r="J8" s="1">
        <v>0.31080000000000002</v>
      </c>
      <c r="K8" s="1">
        <v>0.3286</v>
      </c>
      <c r="L8" s="1">
        <v>0.1143</v>
      </c>
      <c r="M8" s="1">
        <v>0.1081</v>
      </c>
      <c r="N8" s="1">
        <v>0.1111</v>
      </c>
    </row>
    <row r="9" spans="1:14" x14ac:dyDescent="0.3">
      <c r="A9">
        <v>7</v>
      </c>
      <c r="B9" t="s">
        <v>8</v>
      </c>
      <c r="C9" s="1">
        <v>0.93020000000000003</v>
      </c>
      <c r="D9" s="1">
        <v>0.51280000000000003</v>
      </c>
      <c r="E9" s="1">
        <v>0.66120000000000001</v>
      </c>
      <c r="F9" s="1">
        <v>0.5625</v>
      </c>
      <c r="G9" s="1">
        <v>0.69230000000000003</v>
      </c>
      <c r="H9" s="1">
        <v>0.62070000000000003</v>
      </c>
      <c r="I9" s="1">
        <v>0.79520000000000002</v>
      </c>
      <c r="J9" s="1">
        <v>0.84619999999999995</v>
      </c>
      <c r="K9" s="1">
        <v>0.81989999999999996</v>
      </c>
      <c r="L9" s="1">
        <v>0.45829999999999999</v>
      </c>
      <c r="M9" s="1">
        <v>0.28210000000000002</v>
      </c>
      <c r="N9" s="1">
        <v>0.34920000000000001</v>
      </c>
    </row>
    <row r="10" spans="1:14" x14ac:dyDescent="0.3">
      <c r="A10">
        <v>8</v>
      </c>
      <c r="B10" t="s">
        <v>9</v>
      </c>
      <c r="C10" s="1">
        <v>0.22220000000000001</v>
      </c>
      <c r="D10" s="1">
        <v>0.2162</v>
      </c>
      <c r="E10" s="1">
        <v>0.21920000000000001</v>
      </c>
      <c r="F10" s="1">
        <v>0.15</v>
      </c>
      <c r="G10" s="1">
        <v>0.2432</v>
      </c>
      <c r="H10" s="1">
        <v>0.18559999999999999</v>
      </c>
      <c r="I10" s="1">
        <v>0.12</v>
      </c>
      <c r="J10" s="1">
        <v>0.32429999999999998</v>
      </c>
      <c r="K10" s="1">
        <v>0.17519999999999999</v>
      </c>
      <c r="L10" s="1">
        <v>0.1429</v>
      </c>
      <c r="M10" s="1">
        <v>5.4100000000000002E-2</v>
      </c>
      <c r="N10" s="1">
        <v>7.8399999999999997E-2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1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</row>
    <row r="13" spans="1:14" x14ac:dyDescent="0.3">
      <c r="A13">
        <v>11</v>
      </c>
      <c r="B13" t="s">
        <v>12</v>
      </c>
      <c r="C13" s="1">
        <v>0.31430000000000002</v>
      </c>
      <c r="D13" s="1">
        <v>0.15939999999999999</v>
      </c>
      <c r="E13" s="1">
        <v>0.21149999999999999</v>
      </c>
      <c r="F13" s="1">
        <v>0.625</v>
      </c>
      <c r="G13" s="1">
        <v>0.57969999999999999</v>
      </c>
      <c r="H13" s="1">
        <v>0.60150000000000003</v>
      </c>
      <c r="I13" s="1">
        <v>0.38300000000000001</v>
      </c>
      <c r="J13" s="1">
        <v>0.52170000000000005</v>
      </c>
      <c r="K13" s="1">
        <v>0.44169999999999998</v>
      </c>
      <c r="L13" s="1">
        <v>0.38890000000000002</v>
      </c>
      <c r="M13" s="1">
        <v>0.2029</v>
      </c>
      <c r="N13" s="1">
        <v>0.26669999999999999</v>
      </c>
    </row>
    <row r="14" spans="1:14" x14ac:dyDescent="0.3">
      <c r="A14" s="6" t="s">
        <v>13</v>
      </c>
      <c r="B14" s="6"/>
      <c r="C14" s="2">
        <f>AVERAGE(C3:C13)</f>
        <v>0.3562818181818182</v>
      </c>
      <c r="D14" s="2">
        <f t="shared" ref="D14:N14" si="0">AVERAGE(D3:D13)</f>
        <v>0.29323636363636363</v>
      </c>
      <c r="E14" s="2">
        <f t="shared" si="0"/>
        <v>0.2924090909090909</v>
      </c>
      <c r="F14" s="2">
        <f t="shared" si="0"/>
        <v>0.22029090909090909</v>
      </c>
      <c r="G14" s="2">
        <f t="shared" si="0"/>
        <v>0.39555454545454544</v>
      </c>
      <c r="H14" s="2">
        <f t="shared" si="0"/>
        <v>0.24072727272727273</v>
      </c>
      <c r="I14" s="2">
        <f t="shared" si="0"/>
        <v>0.28534545454545457</v>
      </c>
      <c r="J14" s="2">
        <f t="shared" si="0"/>
        <v>0.50692727272727278</v>
      </c>
      <c r="K14" s="2">
        <f t="shared" si="0"/>
        <v>0.31529999999999997</v>
      </c>
      <c r="L14" s="2">
        <f t="shared" si="0"/>
        <v>0.29457272727272726</v>
      </c>
      <c r="M14" s="2">
        <f t="shared" si="0"/>
        <v>0.36371818181818177</v>
      </c>
      <c r="N14" s="2">
        <f t="shared" si="0"/>
        <v>0.24977272727272729</v>
      </c>
    </row>
  </sheetData>
  <mergeCells count="5">
    <mergeCell ref="A14:B14"/>
    <mergeCell ref="C1:E1"/>
    <mergeCell ref="F1:H1"/>
    <mergeCell ref="I1:K1"/>
    <mergeCell ref="L1:N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</vt:lpstr>
      <vt:lpstr>alodokter</vt:lpstr>
      <vt:lpstr>halodoc</vt:lpstr>
      <vt:lpstr>linksehat</vt:lpstr>
      <vt:lpstr>prodia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ARNEAL OCTORA</dc:creator>
  <cp:lastModifiedBy>VERO ARNEAL OCTORA</cp:lastModifiedBy>
  <dcterms:created xsi:type="dcterms:W3CDTF">2025-12-13T07:04:31Z</dcterms:created>
  <dcterms:modified xsi:type="dcterms:W3CDTF">2025-12-29T02:58:08Z</dcterms:modified>
</cp:coreProperties>
</file>
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Government/01. RESULTS/"/>
    </mc:Choice>
  </mc:AlternateContent>
  <xr:revisionPtr revIDLastSave="110" documentId="8_{111FB544-1306-4362-B0E3-67EFAEB17A15}" xr6:coauthVersionLast="47" xr6:coauthVersionMax="47" xr10:uidLastSave="{EDA2DBAC-5833-4E9C-9105-32DC21FFFFD7}"/>
  <bookViews>
    <workbookView minimized="1" xWindow="-3324" yWindow="3276" windowWidth="17280" windowHeight="8880" xr2:uid="{8FD09F32-6554-4E25-AD72-3F8DEA4F3296}"/>
  </bookViews>
  <sheets>
    <sheet name="average" sheetId="5" r:id="rId1"/>
    <sheet name="jaki" sheetId="1" r:id="rId2"/>
    <sheet name="kemnaker" sheetId="2" r:id="rId3"/>
    <sheet name="rumahpendidikan" sheetId="3" r:id="rId4"/>
    <sheet name="satuseha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4" i="5"/>
  <c r="E5" i="5"/>
  <c r="F5" i="5"/>
  <c r="F6" i="5"/>
  <c r="G6" i="5"/>
  <c r="B3" i="5"/>
  <c r="D14" i="1"/>
  <c r="E14" i="1"/>
  <c r="F14" i="1"/>
  <c r="E3" i="5" s="1"/>
  <c r="G14" i="1"/>
  <c r="F3" i="5" s="1"/>
  <c r="H14" i="1"/>
  <c r="G3" i="5" s="1"/>
  <c r="I14" i="1"/>
  <c r="H3" i="5" s="1"/>
  <c r="J14" i="1"/>
  <c r="I3" i="5" s="1"/>
  <c r="K14" i="1"/>
  <c r="J3" i="5" s="1"/>
  <c r="L14" i="1"/>
  <c r="K3" i="5" s="1"/>
  <c r="M14" i="1"/>
  <c r="L3" i="5" s="1"/>
  <c r="N14" i="1"/>
  <c r="M3" i="5" s="1"/>
  <c r="C14" i="2"/>
  <c r="B4" i="5" s="1"/>
  <c r="D14" i="2"/>
  <c r="C4" i="5" s="1"/>
  <c r="E14" i="2"/>
  <c r="D4" i="5" s="1"/>
  <c r="F14" i="2"/>
  <c r="G14" i="2"/>
  <c r="F4" i="5" s="1"/>
  <c r="H14" i="2"/>
  <c r="G4" i="5" s="1"/>
  <c r="I14" i="2"/>
  <c r="H4" i="5" s="1"/>
  <c r="J14" i="2"/>
  <c r="I4" i="5" s="1"/>
  <c r="K14" i="2"/>
  <c r="J4" i="5" s="1"/>
  <c r="L14" i="2"/>
  <c r="K4" i="5" s="1"/>
  <c r="M14" i="2"/>
  <c r="L4" i="5" s="1"/>
  <c r="N14" i="2"/>
  <c r="M4" i="5" s="1"/>
  <c r="C14" i="3"/>
  <c r="B5" i="5" s="1"/>
  <c r="D14" i="3"/>
  <c r="C5" i="5" s="1"/>
  <c r="E14" i="3"/>
  <c r="D5" i="5" s="1"/>
  <c r="F14" i="3"/>
  <c r="G14" i="3"/>
  <c r="H14" i="3"/>
  <c r="G5" i="5" s="1"/>
  <c r="I14" i="3"/>
  <c r="H5" i="5" s="1"/>
  <c r="J14" i="3"/>
  <c r="I5" i="5" s="1"/>
  <c r="K14" i="3"/>
  <c r="J5" i="5" s="1"/>
  <c r="L14" i="3"/>
  <c r="K5" i="5" s="1"/>
  <c r="M14" i="3"/>
  <c r="L5" i="5" s="1"/>
  <c r="N14" i="3"/>
  <c r="M5" i="5" s="1"/>
  <c r="D14" i="4"/>
  <c r="C6" i="5" s="1"/>
  <c r="E14" i="4"/>
  <c r="D6" i="5" s="1"/>
  <c r="F14" i="4"/>
  <c r="E6" i="5" s="1"/>
  <c r="G14" i="4"/>
  <c r="H14" i="4"/>
  <c r="I14" i="4"/>
  <c r="H6" i="5" s="1"/>
  <c r="J14" i="4"/>
  <c r="I6" i="5" s="1"/>
  <c r="K14" i="4"/>
  <c r="J6" i="5" s="1"/>
  <c r="L14" i="4"/>
  <c r="K6" i="5" s="1"/>
  <c r="M14" i="4"/>
  <c r="L6" i="5" s="1"/>
  <c r="N14" i="4"/>
  <c r="M6" i="5" s="1"/>
  <c r="C14" i="4"/>
  <c r="B6" i="5" s="1"/>
  <c r="C14" i="1"/>
</calcChain>
</file>

<file path=xl/sharedStrings.xml><?xml version="1.0" encoding="utf-8"?>
<sst xmlns="http://schemas.openxmlformats.org/spreadsheetml/2006/main" count="140" uniqueCount="25">
  <si>
    <t>No</t>
  </si>
  <si>
    <t>Parameter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</si>
  <si>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</si>
  <si>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</si>
  <si>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</si>
  <si>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</si>
  <si>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</si>
  <si>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</si>
  <si>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</si>
  <si>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</si>
  <si>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</si>
  <si>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</si>
  <si>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</si>
  <si>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</si>
  <si>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ChatGPT</t>
  </si>
  <si>
    <t>Gemini</t>
  </si>
  <si>
    <t>Grok</t>
  </si>
  <si>
    <t>Perplexity</t>
  </si>
  <si>
    <t>Precision</t>
  </si>
  <si>
    <t>Recall</t>
  </si>
  <si>
    <t>F1-Score</t>
  </si>
  <si>
    <t>Jaki</t>
  </si>
  <si>
    <t>Kemnaker</t>
  </si>
  <si>
    <t>Rumah Pendidika</t>
  </si>
  <si>
    <t>Satu Sehat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</si>
</sst>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Jaki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(average!$B$3,average!$E$3,average!$H$3,average!$K$3)</c:f>
              <c:numCache>
                <c:formatCode>0.00%</c:formatCode>
                <c:ptCount val="4"/>
                <c:pt idx="0">
                  <c:v>0.25232727272727273</c:v>
                </c:pt>
                <c:pt idx="1">
                  <c:v>0.24640909090909091</c:v>
                </c:pt>
                <c:pt idx="2">
                  <c:v>0.15535454545454547</c:v>
                </c:pt>
                <c:pt idx="3">
                  <c:v>0.16993636363636364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2-49C5-A53E-95F7ECB68C32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Kemnaker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0.43789090909090916</c:v>
                </c:pt>
                <c:pt idx="1">
                  <c:v>0.34620000000000001</c:v>
                </c:pt>
                <c:pt idx="2">
                  <c:v>0.4943909090909091</c:v>
                </c:pt>
                <c:pt idx="3">
                  <c:v>0.43324545454545454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2-49C5-A53E-95F7ECB68C32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Rumah Pendidika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0.33590909090909088</c:v>
                </c:pt>
                <c:pt idx="1">
                  <c:v>0.20568181818181819</c:v>
                </c:pt>
                <c:pt idx="2">
                  <c:v>0.23570909090909095</c:v>
                </c:pt>
                <c:pt idx="3">
                  <c:v>0.30647272727272729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2-49C5-A53E-95F7ECB68C32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Satu Sehat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0.36121818181818183</c:v>
                </c:pt>
                <c:pt idx="1">
                  <c:v>0.31583636363636364</c:v>
                </c:pt>
                <c:pt idx="2">
                  <c:v>0.18195454545454545</c:v>
                </c:pt>
                <c:pt idx="3">
                  <c:v>0.27377272727272728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2-49C5-A53E-95F7ECB6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590751"/>
        <c:axId val="385583071"/>
      </c:barChart>
      <c:catAx>
        <c:axId val="3855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83071"/>
        <c:crosses val="autoZero"/>
        <c:auto val="1"/>
        <c:lblAlgn val="ctr"/>
        <c:lblOffset val="100"/>
        <c:noMultiLvlLbl val="0"/>
      </c:catAx>
      <c:valAx>
        <c:axId val="385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9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Jaki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(average!$D$3,average!$G$3,average!$J$3,average!$M$3)</c:f>
              <c:numCache>
                <c:formatCode>0.00%</c:formatCode>
                <c:ptCount val="4"/>
                <c:pt idx="0">
                  <c:v>0.22954545454545452</c:v>
                </c:pt>
                <c:pt idx="1">
                  <c:v>0.2564818181818182</c:v>
                </c:pt>
                <c:pt idx="2">
                  <c:v>0.13600909090909091</c:v>
                </c:pt>
                <c:pt idx="3">
                  <c:v>0.14566363636363636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8-410F-92AA-58DDD8BF8634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Kemnaker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0.47745454545454541</c:v>
                </c:pt>
                <c:pt idx="1">
                  <c:v>0.40312727272727272</c:v>
                </c:pt>
                <c:pt idx="2">
                  <c:v>0.56153636363636361</c:v>
                </c:pt>
                <c:pt idx="3">
                  <c:v>0.47569999999999996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8-410F-92AA-58DDD8BF8634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Rumah Pendidika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0.3171272727272727</c:v>
                </c:pt>
                <c:pt idx="1">
                  <c:v>0.19951818181818182</c:v>
                </c:pt>
                <c:pt idx="2">
                  <c:v>0.2403818181818182</c:v>
                </c:pt>
                <c:pt idx="3">
                  <c:v>0.28887272727272728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F8-410F-92AA-58DDD8BF8634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Satu Sehat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0.30884545454545453</c:v>
                </c:pt>
                <c:pt idx="1">
                  <c:v>0.30969090909090907</c:v>
                </c:pt>
                <c:pt idx="2">
                  <c:v>0.15449999999999997</c:v>
                </c:pt>
                <c:pt idx="3">
                  <c:v>0.25065454545454546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F8-410F-92AA-58DDD8BF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590751"/>
        <c:axId val="385583071"/>
      </c:barChart>
      <c:catAx>
        <c:axId val="3855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83071"/>
        <c:crosses val="autoZero"/>
        <c:auto val="1"/>
        <c:lblAlgn val="ctr"/>
        <c:lblOffset val="100"/>
        <c:noMultiLvlLbl val="0"/>
      </c:catAx>
      <c:valAx>
        <c:axId val="385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9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Jaki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(average!$C$3,average!$F$3,average!$I$3,average!$L$3)</c:f>
              <c:numCache>
                <c:formatCode>0.00%</c:formatCode>
                <c:ptCount val="4"/>
                <c:pt idx="0">
                  <c:v>0.29266363636363635</c:v>
                </c:pt>
                <c:pt idx="1">
                  <c:v>0.47625454545454549</c:v>
                </c:pt>
                <c:pt idx="2">
                  <c:v>0.39378181818181823</c:v>
                </c:pt>
                <c:pt idx="3">
                  <c:v>0.39365454545454542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7-4F92-8CB3-48C2715CC67D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Kemnaker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(average!$C$4,average!$F$4,average!$I$4,average!$L$4)</c:f>
              <c:numCache>
                <c:formatCode>0.00%</c:formatCode>
                <c:ptCount val="4"/>
                <c:pt idx="0">
                  <c:v>0.69890909090909092</c:v>
                </c:pt>
                <c:pt idx="1">
                  <c:v>0.6685363636363636</c:v>
                </c:pt>
                <c:pt idx="2">
                  <c:v>0.81901818181818176</c:v>
                </c:pt>
                <c:pt idx="3">
                  <c:v>0.74294545454545446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7-4F92-8CB3-48C2715CC67D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Rumah Pendidika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(average!$C$5,average!$F$5,average!$I$5,average!$L$5)</c:f>
              <c:numCache>
                <c:formatCode>0.00%</c:formatCode>
                <c:ptCount val="4"/>
                <c:pt idx="0">
                  <c:v>0.46947272727272726</c:v>
                </c:pt>
                <c:pt idx="1">
                  <c:v>0.4078</c:v>
                </c:pt>
                <c:pt idx="2">
                  <c:v>0.47985454545454542</c:v>
                </c:pt>
                <c:pt idx="3">
                  <c:v>0.50312727272727276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7-4F92-8CB3-48C2715CC67D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Satu Sehat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(average!$C$6,average!$F$6,average!$I$6,average!$L$6)</c:f>
              <c:numCache>
                <c:formatCode>0.00%</c:formatCode>
                <c:ptCount val="4"/>
                <c:pt idx="0">
                  <c:v>0.44680909090909088</c:v>
                </c:pt>
                <c:pt idx="1">
                  <c:v>0.4313909090909091</c:v>
                </c:pt>
                <c:pt idx="2">
                  <c:v>0.33034545454545455</c:v>
                </c:pt>
                <c:pt idx="3">
                  <c:v>0.45043636363636358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17-4F92-8CB3-48C2715CC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590751"/>
        <c:axId val="385583071"/>
      </c:barChart>
      <c:catAx>
        <c:axId val="3855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83071"/>
        <c:crosses val="autoZero"/>
        <c:auto val="1"/>
        <c:lblAlgn val="ctr"/>
        <c:lblOffset val="100"/>
        <c:noMultiLvlLbl val="0"/>
      </c:catAx>
      <c:valAx>
        <c:axId val="385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59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53340</xdr:rowOff>
    </xdr:from>
    <xdr:to>
      <xdr:col>15</xdr:col>
      <xdr:colOff>228600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859C9-4A30-3E33-B4E1-CE5B37870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</xdr:row>
      <xdr:rowOff>0</xdr:rowOff>
    </xdr:from>
    <xdr:to>
      <xdr:col>25</xdr:col>
      <xdr:colOff>304800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1F699-991F-4D26-A988-EE397A2DE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121920</xdr:colOff>
      <xdr:row>19</xdr:row>
      <xdr:rowOff>160020</xdr:rowOff>
    </xdr:from>
    <xdr:to>
      <xdr:col>15</xdr:col>
      <xdr:colOff>426720</xdr:colOff>
      <xdr:row>34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5FB613-C776-40CF-89FC-B4638CBBC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29E6-9DD4-4EE5-A083-37110F9E2DB2}">
  <dimension ref="A1:M6"/>
  <sheetViews>
    <sheetView tabSelected="1" topLeftCell="G1" workbookViewId="0">
      <selection activeCell="P20" sqref="P20"/>
    </sheetView>
  </sheetViews>
  <sheetFormatPr defaultRowHeight="14.4" x14ac:dyDescent="0.3"/>
  <sheetData>
    <row r="1" spans="1:13" x14ac:dyDescent="0.3">
      <c r="A1" s="3"/>
      <c r="B1" s="5" t="s">
        <v>14</v>
      </c>
      <c r="C1" s="5"/>
      <c r="D1" s="5"/>
      <c r="E1" s="5" t="s">
        <v>15</v>
      </c>
      <c r="F1" s="5"/>
      <c r="G1" s="5"/>
      <c r="H1" s="5" t="s">
        <v>16</v>
      </c>
      <c r="I1" s="5"/>
      <c r="J1" s="5"/>
      <c r="K1" s="5" t="s">
        <v>17</v>
      </c>
      <c r="L1" s="5"/>
      <c r="M1" s="5"/>
    </row>
    <row r="2" spans="1:13" x14ac:dyDescent="0.3">
      <c r="A2" s="3"/>
      <c r="B2" s="3" t="s">
        <v>18</v>
      </c>
      <c r="C2" s="3" t="s">
        <v>19</v>
      </c>
      <c r="D2" s="3" t="s">
        <v>20</v>
      </c>
      <c r="E2" s="3" t="s">
        <v>18</v>
      </c>
      <c r="F2" s="3" t="s">
        <v>19</v>
      </c>
      <c r="G2" s="3" t="s">
        <v>20</v>
      </c>
      <c r="H2" s="3" t="s">
        <v>18</v>
      </c>
      <c r="I2" s="3" t="s">
        <v>19</v>
      </c>
      <c r="J2" s="3" t="s">
        <v>20</v>
      </c>
      <c r="K2" s="3" t="s">
        <v>18</v>
      </c>
      <c r="L2" s="3" t="s">
        <v>19</v>
      </c>
      <c r="M2" s="3" t="s">
        <v>20</v>
      </c>
    </row>
    <row r="3" spans="1:13" x14ac:dyDescent="0.3">
      <c r="A3" s="3" t="s">
        <v>21</v>
      </c>
      <c r="B3" s="4">
        <f>jaki!C14</f>
        <v>0.25232727272727273</v>
      </c>
      <c r="C3" s="4">
        <f>jaki!D14</f>
        <v>0.29266363636363635</v>
      </c>
      <c r="D3" s="4">
        <f>jaki!E14</f>
        <v>0.22954545454545452</v>
      </c>
      <c r="E3" s="4">
        <f>jaki!F14</f>
        <v>0.24640909090909091</v>
      </c>
      <c r="F3" s="4">
        <f>jaki!G14</f>
        <v>0.47625454545454549</v>
      </c>
      <c r="G3" s="4">
        <f>jaki!H14</f>
        <v>0.2564818181818182</v>
      </c>
      <c r="H3" s="4">
        <f>jaki!I14</f>
        <v>0.15535454545454547</v>
      </c>
      <c r="I3" s="4">
        <f>jaki!J14</f>
        <v>0.39378181818181823</v>
      </c>
      <c r="J3" s="4">
        <f>jaki!K14</f>
        <v>0.13600909090909091</v>
      </c>
      <c r="K3" s="4">
        <f>jaki!L14</f>
        <v>0.16993636363636364</v>
      </c>
      <c r="L3" s="4">
        <f>jaki!M14</f>
        <v>0.39365454545454542</v>
      </c>
      <c r="M3" s="4">
        <f>jaki!N14</f>
        <v>0.14566363636363636</v>
      </c>
    </row>
    <row r="4" spans="1:13" x14ac:dyDescent="0.3">
      <c r="A4" s="3" t="s">
        <v>22</v>
      </c>
      <c r="B4" s="4">
        <f>kemnaker!C14</f>
        <v>0.43789090909090916</v>
      </c>
      <c r="C4" s="4">
        <f>kemnaker!D14</f>
        <v>0.69890909090909092</v>
      </c>
      <c r="D4" s="4">
        <f>kemnaker!E14</f>
        <v>0.47745454545454541</v>
      </c>
      <c r="E4" s="4">
        <f>kemnaker!F14</f>
        <v>0.34620000000000001</v>
      </c>
      <c r="F4" s="4">
        <f>kemnaker!G14</f>
        <v>0.6685363636363636</v>
      </c>
      <c r="G4" s="4">
        <f>kemnaker!H14</f>
        <v>0.40312727272727272</v>
      </c>
      <c r="H4" s="4">
        <f>kemnaker!I14</f>
        <v>0.4943909090909091</v>
      </c>
      <c r="I4" s="4">
        <f>kemnaker!J14</f>
        <v>0.81901818181818176</v>
      </c>
      <c r="J4" s="4">
        <f>kemnaker!K14</f>
        <v>0.56153636363636361</v>
      </c>
      <c r="K4" s="4">
        <f>kemnaker!L14</f>
        <v>0.43324545454545454</v>
      </c>
      <c r="L4" s="4">
        <f>kemnaker!M14</f>
        <v>0.74294545454545446</v>
      </c>
      <c r="M4" s="4">
        <f>kemnaker!N14</f>
        <v>0.47569999999999996</v>
      </c>
    </row>
    <row r="5" spans="1:13" x14ac:dyDescent="0.3">
      <c r="A5" s="3" t="s">
        <v>23</v>
      </c>
      <c r="B5" s="4">
        <f>rumahpendidikan!C14</f>
        <v>0.33590909090909088</v>
      </c>
      <c r="C5" s="4">
        <f>rumahpendidikan!D14</f>
        <v>0.46947272727272726</v>
      </c>
      <c r="D5" s="4">
        <f>rumahpendidikan!E14</f>
        <v>0.3171272727272727</v>
      </c>
      <c r="E5" s="4">
        <f>rumahpendidikan!F14</f>
        <v>0.20568181818181819</v>
      </c>
      <c r="F5" s="4">
        <f>rumahpendidikan!G14</f>
        <v>0.4078</v>
      </c>
      <c r="G5" s="4">
        <f>rumahpendidikan!H14</f>
        <v>0.19951818181818182</v>
      </c>
      <c r="H5" s="4">
        <f>rumahpendidikan!I14</f>
        <v>0.23570909090909095</v>
      </c>
      <c r="I5" s="4">
        <f>rumahpendidikan!J14</f>
        <v>0.47985454545454542</v>
      </c>
      <c r="J5" s="4">
        <f>rumahpendidikan!K14</f>
        <v>0.2403818181818182</v>
      </c>
      <c r="K5" s="4">
        <f>rumahpendidikan!L14</f>
        <v>0.30647272727272729</v>
      </c>
      <c r="L5" s="4">
        <f>rumahpendidikan!M14</f>
        <v>0.50312727272727276</v>
      </c>
      <c r="M5" s="4">
        <f>rumahpendidikan!N14</f>
        <v>0.28887272727272728</v>
      </c>
    </row>
    <row r="6" spans="1:13" x14ac:dyDescent="0.3">
      <c r="A6" s="3" t="s">
        <v>24</v>
      </c>
      <c r="B6" s="4">
        <f>satusehat!C14</f>
        <v>0.36121818181818183</v>
      </c>
      <c r="C6" s="4">
        <f>satusehat!D14</f>
        <v>0.44680909090909088</v>
      </c>
      <c r="D6" s="4">
        <f>satusehat!E14</f>
        <v>0.30884545454545453</v>
      </c>
      <c r="E6" s="4">
        <f>satusehat!F14</f>
        <v>0.31583636363636364</v>
      </c>
      <c r="F6" s="4">
        <f>satusehat!G14</f>
        <v>0.4313909090909091</v>
      </c>
      <c r="G6" s="4">
        <f>satusehat!H14</f>
        <v>0.30969090909090907</v>
      </c>
      <c r="H6" s="4">
        <f>satusehat!I14</f>
        <v>0.18195454545454545</v>
      </c>
      <c r="I6" s="4">
        <f>satusehat!J14</f>
        <v>0.33034545454545455</v>
      </c>
      <c r="J6" s="4">
        <f>satusehat!K14</f>
        <v>0.15449999999999997</v>
      </c>
      <c r="K6" s="4">
        <f>satusehat!L14</f>
        <v>0.27377272727272728</v>
      </c>
      <c r="L6" s="4">
        <f>satusehat!M14</f>
        <v>0.45043636363636358</v>
      </c>
      <c r="M6" s="4">
        <f>satusehat!N14</f>
        <v>0.25065454545454546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4080-9216-41F8-8747-5B134773AF1D}">
  <dimension ref="A1:N14"/>
  <sheetViews>
    <sheetView workbookViewId="0">
      <selection activeCell="C15" sqref="C15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</v>
      </c>
      <c r="D3" s="1">
        <v>0</v>
      </c>
      <c r="E3" s="1">
        <v>0</v>
      </c>
      <c r="F3" s="1">
        <v>0.05</v>
      </c>
      <c r="G3" s="1">
        <v>1</v>
      </c>
      <c r="H3" s="1">
        <v>9.5200000000000007E-2</v>
      </c>
      <c r="I3" s="1">
        <v>2.5600000000000001E-2</v>
      </c>
      <c r="J3" s="1">
        <v>1</v>
      </c>
      <c r="K3" s="1">
        <v>0.05</v>
      </c>
      <c r="L3" s="1">
        <v>3.1300000000000001E-2</v>
      </c>
      <c r="M3" s="1">
        <v>1</v>
      </c>
      <c r="N3" s="1">
        <v>6.0600000000000001E-2</v>
      </c>
    </row>
    <row r="4" spans="1:14" x14ac:dyDescent="0.3">
      <c r="A4">
        <v>2</v>
      </c>
      <c r="B4" t="s">
        <v>3</v>
      </c>
      <c r="C4" s="1">
        <v>0</v>
      </c>
      <c r="D4" s="1">
        <v>0</v>
      </c>
      <c r="E4" s="1">
        <v>0</v>
      </c>
      <c r="F4" s="1">
        <v>5.1299999999999998E-2</v>
      </c>
      <c r="G4" s="1">
        <v>1</v>
      </c>
      <c r="H4" s="1">
        <v>9.7600000000000006E-2</v>
      </c>
      <c r="I4" s="1">
        <v>0.04</v>
      </c>
      <c r="J4" s="1">
        <v>1</v>
      </c>
      <c r="K4" s="1">
        <v>7.6899999999999996E-2</v>
      </c>
      <c r="L4" s="1">
        <v>2.7E-2</v>
      </c>
      <c r="M4" s="1">
        <v>1</v>
      </c>
      <c r="N4" s="1">
        <v>5.2600000000000001E-2</v>
      </c>
    </row>
    <row r="5" spans="1:14" x14ac:dyDescent="0.3">
      <c r="A5">
        <v>3</v>
      </c>
      <c r="B5" t="s">
        <v>4</v>
      </c>
      <c r="C5" s="1">
        <v>0.1111</v>
      </c>
      <c r="D5" s="1">
        <v>1</v>
      </c>
      <c r="E5" s="1">
        <v>0.2</v>
      </c>
      <c r="F5" s="1">
        <v>0.33329999999999999</v>
      </c>
      <c r="G5" s="1">
        <v>1</v>
      </c>
      <c r="H5" s="1">
        <v>0.5</v>
      </c>
      <c r="I5" s="1">
        <v>6.25E-2</v>
      </c>
      <c r="J5" s="1">
        <v>1</v>
      </c>
      <c r="K5" s="1">
        <v>0.1176</v>
      </c>
      <c r="L5" s="1">
        <v>9.0899999999999995E-2</v>
      </c>
      <c r="M5" s="1">
        <v>1</v>
      </c>
      <c r="N5" s="1">
        <v>0.16669999999999999</v>
      </c>
    </row>
    <row r="6" spans="1:14" x14ac:dyDescent="0.3">
      <c r="A6">
        <v>4</v>
      </c>
      <c r="B6" t="s">
        <v>5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0.40739999999999998</v>
      </c>
      <c r="D7" s="1">
        <v>0.4783</v>
      </c>
      <c r="E7" s="1">
        <v>0.44</v>
      </c>
      <c r="F7" s="1">
        <v>0.27779999999999999</v>
      </c>
      <c r="G7" s="1">
        <v>0.6522</v>
      </c>
      <c r="H7" s="1">
        <v>0.3896</v>
      </c>
      <c r="I7" s="1">
        <v>0.3</v>
      </c>
      <c r="J7" s="1">
        <v>0.52170000000000005</v>
      </c>
      <c r="K7" s="1">
        <v>0.38100000000000001</v>
      </c>
      <c r="L7" s="1">
        <v>0.13850000000000001</v>
      </c>
      <c r="M7" s="1">
        <v>0.39129999999999998</v>
      </c>
      <c r="N7" s="1">
        <v>0.20449999999999999</v>
      </c>
    </row>
    <row r="8" spans="1:14" x14ac:dyDescent="0.3">
      <c r="A8">
        <v>6</v>
      </c>
      <c r="B8" t="s">
        <v>7</v>
      </c>
      <c r="C8" s="1">
        <v>0.29549999999999998</v>
      </c>
      <c r="D8" s="1">
        <v>4.87E-2</v>
      </c>
      <c r="E8" s="1">
        <v>8.3599999999999994E-2</v>
      </c>
      <c r="F8" s="1">
        <v>0.67859999999999998</v>
      </c>
      <c r="G8" s="1">
        <v>0.35580000000000001</v>
      </c>
      <c r="H8" s="1">
        <v>0.46679999999999999</v>
      </c>
      <c r="I8" s="1">
        <v>0.29730000000000001</v>
      </c>
      <c r="J8" s="1">
        <v>4.1200000000000001E-2</v>
      </c>
      <c r="K8" s="1">
        <v>7.2400000000000006E-2</v>
      </c>
      <c r="L8" s="1">
        <v>0.50749999999999995</v>
      </c>
      <c r="M8" s="1">
        <v>0.1273</v>
      </c>
      <c r="N8" s="1">
        <v>0.2036</v>
      </c>
    </row>
    <row r="9" spans="1:14" x14ac:dyDescent="0.3">
      <c r="A9">
        <v>7</v>
      </c>
      <c r="B9" t="s">
        <v>8</v>
      </c>
      <c r="C9" s="1">
        <v>0.32879999999999998</v>
      </c>
      <c r="D9" s="1">
        <v>0.26369999999999999</v>
      </c>
      <c r="E9" s="1">
        <v>0.29270000000000002</v>
      </c>
      <c r="F9" s="1">
        <v>0.22339999999999999</v>
      </c>
      <c r="G9" s="1">
        <v>0.23080000000000001</v>
      </c>
      <c r="H9" s="1">
        <v>0.22700000000000001</v>
      </c>
      <c r="I9" s="1">
        <v>0.45710000000000001</v>
      </c>
      <c r="J9" s="1">
        <v>0.17580000000000001</v>
      </c>
      <c r="K9" s="1">
        <v>0.254</v>
      </c>
      <c r="L9" s="1">
        <v>0.5</v>
      </c>
      <c r="M9" s="1">
        <v>0.31869999999999998</v>
      </c>
      <c r="N9" s="1">
        <v>0.38929999999999998</v>
      </c>
    </row>
    <row r="10" spans="1:14" x14ac:dyDescent="0.3">
      <c r="A10">
        <v>8</v>
      </c>
      <c r="B10" t="s">
        <v>9</v>
      </c>
      <c r="C10" s="1">
        <v>0.48570000000000002</v>
      </c>
      <c r="D10" s="1">
        <v>0.30359999999999998</v>
      </c>
      <c r="E10" s="1">
        <v>0.37359999999999999</v>
      </c>
      <c r="F10" s="1">
        <v>0.38179999999999997</v>
      </c>
      <c r="G10" s="1">
        <v>0.375</v>
      </c>
      <c r="H10" s="1">
        <v>0.37840000000000001</v>
      </c>
      <c r="I10" s="1">
        <v>0.26829999999999998</v>
      </c>
      <c r="J10" s="1">
        <v>0.39290000000000003</v>
      </c>
      <c r="K10" s="1">
        <v>0.31879999999999997</v>
      </c>
      <c r="L10" s="1">
        <v>0.40739999999999998</v>
      </c>
      <c r="M10" s="1">
        <v>0.39290000000000003</v>
      </c>
      <c r="N10" s="1">
        <v>0.4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0.14710000000000001</v>
      </c>
      <c r="D12" s="1">
        <v>0.125</v>
      </c>
      <c r="E12" s="1">
        <v>0.1351</v>
      </c>
      <c r="F12" s="1">
        <v>0.71430000000000005</v>
      </c>
      <c r="G12" s="1">
        <v>0.625</v>
      </c>
      <c r="H12" s="1">
        <v>0.66669999999999996</v>
      </c>
      <c r="I12" s="1">
        <v>0.2581</v>
      </c>
      <c r="J12" s="1">
        <v>0.2</v>
      </c>
      <c r="K12" s="1">
        <v>0.22539999999999999</v>
      </c>
      <c r="L12" s="1">
        <v>0.16669999999999999</v>
      </c>
      <c r="M12" s="1">
        <v>0.1</v>
      </c>
      <c r="N12" s="1">
        <v>0.125</v>
      </c>
    </row>
    <row r="13" spans="1:14" x14ac:dyDescent="0.3">
      <c r="A13">
        <v>11</v>
      </c>
      <c r="B13" t="s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6" t="s">
        <v>13</v>
      </c>
      <c r="B14" s="6"/>
      <c r="C14" s="2">
        <f t="shared" ref="C14:N14" si="0">AVERAGE(C3:C13)</f>
        <v>0.25232727272727273</v>
      </c>
      <c r="D14" s="2">
        <f t="shared" si="0"/>
        <v>0.29266363636363635</v>
      </c>
      <c r="E14" s="2">
        <f t="shared" si="0"/>
        <v>0.22954545454545452</v>
      </c>
      <c r="F14" s="2">
        <f t="shared" si="0"/>
        <v>0.24640909090909091</v>
      </c>
      <c r="G14" s="2">
        <f t="shared" si="0"/>
        <v>0.47625454545454549</v>
      </c>
      <c r="H14" s="2">
        <f t="shared" si="0"/>
        <v>0.2564818181818182</v>
      </c>
      <c r="I14" s="2">
        <f t="shared" si="0"/>
        <v>0.15535454545454547</v>
      </c>
      <c r="J14" s="2">
        <f t="shared" si="0"/>
        <v>0.39378181818181823</v>
      </c>
      <c r="K14" s="2">
        <f t="shared" si="0"/>
        <v>0.13600909090909091</v>
      </c>
      <c r="L14" s="2">
        <f t="shared" si="0"/>
        <v>0.16993636363636364</v>
      </c>
      <c r="M14" s="2">
        <f t="shared" si="0"/>
        <v>0.39365454545454542</v>
      </c>
      <c r="N14" s="2">
        <f t="shared" si="0"/>
        <v>0.14566363636363636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E04-59DC-4529-BF8E-ECB21C3D0BFF}">
  <dimension ref="A1:N14"/>
  <sheetViews>
    <sheetView topLeftCell="D1" workbookViewId="0">
      <selection activeCell="J17" sqref="J17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0.33329999999999999</v>
      </c>
      <c r="D3" s="1">
        <v>1</v>
      </c>
      <c r="E3" s="1">
        <v>0.5</v>
      </c>
      <c r="F3" s="1">
        <v>0.33329999999999999</v>
      </c>
      <c r="G3" s="1">
        <v>1</v>
      </c>
      <c r="H3" s="1">
        <v>0.5</v>
      </c>
      <c r="I3" s="1">
        <v>0.33329999999999999</v>
      </c>
      <c r="J3" s="1">
        <v>1</v>
      </c>
      <c r="K3" s="1">
        <v>0.5</v>
      </c>
      <c r="L3" s="1">
        <v>0.18179999999999999</v>
      </c>
      <c r="M3" s="1">
        <v>1</v>
      </c>
      <c r="N3" s="1">
        <v>0.30769999999999997</v>
      </c>
    </row>
    <row r="4" spans="1:14" x14ac:dyDescent="0.3">
      <c r="A4">
        <v>2</v>
      </c>
      <c r="B4" t="s">
        <v>3</v>
      </c>
      <c r="C4" s="1">
        <v>3.7699999999999997E-2</v>
      </c>
      <c r="D4" s="1">
        <v>0.5</v>
      </c>
      <c r="E4" s="1">
        <v>7.0199999999999999E-2</v>
      </c>
      <c r="F4" s="1">
        <v>4.0800000000000003E-2</v>
      </c>
      <c r="G4" s="1">
        <v>0.5</v>
      </c>
      <c r="H4" s="1">
        <v>7.5499999999999998E-2</v>
      </c>
      <c r="I4" s="1">
        <v>4.7600000000000003E-2</v>
      </c>
      <c r="J4" s="1">
        <v>0.75</v>
      </c>
      <c r="K4" s="1">
        <v>8.9599999999999999E-2</v>
      </c>
      <c r="L4" s="1">
        <v>3.85E-2</v>
      </c>
      <c r="M4" s="1">
        <v>0.5</v>
      </c>
      <c r="N4" s="1">
        <v>7.1400000000000005E-2</v>
      </c>
    </row>
    <row r="5" spans="1:14" x14ac:dyDescent="0.3">
      <c r="A5">
        <v>3</v>
      </c>
      <c r="B5" t="s">
        <v>4</v>
      </c>
      <c r="C5" s="1">
        <v>5.2600000000000001E-2</v>
      </c>
      <c r="D5" s="1">
        <v>1</v>
      </c>
      <c r="E5" s="1">
        <v>0.1</v>
      </c>
      <c r="F5" s="1">
        <v>8.6999999999999994E-2</v>
      </c>
      <c r="G5" s="1">
        <v>1</v>
      </c>
      <c r="H5" s="1">
        <v>0.16</v>
      </c>
      <c r="I5" s="1">
        <v>0.18179999999999999</v>
      </c>
      <c r="J5" s="1">
        <v>1</v>
      </c>
      <c r="K5" s="1">
        <v>0.30769999999999997</v>
      </c>
      <c r="L5" s="1">
        <v>3.2300000000000002E-2</v>
      </c>
      <c r="M5" s="1">
        <v>1</v>
      </c>
      <c r="N5" s="1">
        <v>6.25E-2</v>
      </c>
    </row>
    <row r="6" spans="1:14" x14ac:dyDescent="0.3">
      <c r="A6">
        <v>4</v>
      </c>
      <c r="B6" t="s">
        <v>5</v>
      </c>
      <c r="C6" s="1">
        <v>0.28360000000000002</v>
      </c>
      <c r="D6" s="1">
        <v>0.79169999999999996</v>
      </c>
      <c r="E6" s="1">
        <v>0.41760000000000003</v>
      </c>
      <c r="F6" s="1">
        <v>0.2243</v>
      </c>
      <c r="G6" s="1">
        <v>1</v>
      </c>
      <c r="H6" s="1">
        <v>0.3664</v>
      </c>
      <c r="I6" s="1">
        <v>0.30769999999999997</v>
      </c>
      <c r="J6" s="1">
        <v>1</v>
      </c>
      <c r="K6" s="1">
        <v>0.47060000000000002</v>
      </c>
      <c r="L6" s="1">
        <v>0.24440000000000001</v>
      </c>
      <c r="M6" s="1">
        <v>0.91669999999999996</v>
      </c>
      <c r="N6" s="1">
        <v>0.38600000000000001</v>
      </c>
    </row>
    <row r="7" spans="1:14" x14ac:dyDescent="0.3">
      <c r="A7">
        <v>5</v>
      </c>
      <c r="B7" t="s">
        <v>6</v>
      </c>
      <c r="C7" s="1">
        <v>0.16220000000000001</v>
      </c>
      <c r="D7" s="1">
        <v>0.35289999999999999</v>
      </c>
      <c r="E7" s="1">
        <v>0.22220000000000001</v>
      </c>
      <c r="F7" s="1">
        <v>0.15909999999999999</v>
      </c>
      <c r="G7" s="1">
        <v>0.4118</v>
      </c>
      <c r="H7" s="1">
        <v>0.22950000000000001</v>
      </c>
      <c r="I7" s="1">
        <v>0.16220000000000001</v>
      </c>
      <c r="J7" s="1">
        <v>0.35289999999999999</v>
      </c>
      <c r="K7" s="1">
        <v>0.22220000000000001</v>
      </c>
      <c r="L7" s="1">
        <v>0.1017</v>
      </c>
      <c r="M7" s="1">
        <v>0.35289999999999999</v>
      </c>
      <c r="N7" s="1">
        <v>0.15790000000000001</v>
      </c>
    </row>
    <row r="8" spans="1:14" x14ac:dyDescent="0.3">
      <c r="A8">
        <v>6</v>
      </c>
      <c r="B8" t="s">
        <v>7</v>
      </c>
      <c r="C8" s="1">
        <v>0.44740000000000002</v>
      </c>
      <c r="D8" s="1">
        <v>0.2656</v>
      </c>
      <c r="E8" s="1">
        <v>0.33329999999999999</v>
      </c>
      <c r="F8" s="1">
        <v>0.7429</v>
      </c>
      <c r="G8" s="1">
        <v>0.8125</v>
      </c>
      <c r="H8" s="1">
        <v>0.77610000000000001</v>
      </c>
      <c r="I8" s="1">
        <v>0.86570000000000003</v>
      </c>
      <c r="J8" s="1">
        <v>0.90629999999999999</v>
      </c>
      <c r="K8" s="1">
        <v>0.88549999999999995</v>
      </c>
      <c r="L8" s="1">
        <v>0.68969999999999998</v>
      </c>
      <c r="M8" s="1">
        <v>0.625</v>
      </c>
      <c r="N8" s="1">
        <v>0.65569999999999995</v>
      </c>
    </row>
    <row r="9" spans="1:14" x14ac:dyDescent="0.3">
      <c r="A9">
        <v>7</v>
      </c>
      <c r="B9" t="s">
        <v>8</v>
      </c>
      <c r="C9" s="1">
        <v>0.5</v>
      </c>
      <c r="D9" s="1">
        <v>0.77780000000000005</v>
      </c>
      <c r="E9" s="1">
        <v>0.60870000000000002</v>
      </c>
      <c r="F9" s="1">
        <v>0.2208</v>
      </c>
      <c r="G9" s="1">
        <v>0.62960000000000005</v>
      </c>
      <c r="H9" s="1">
        <v>0.32690000000000002</v>
      </c>
      <c r="I9" s="1">
        <v>0.54</v>
      </c>
      <c r="J9" s="1">
        <v>1</v>
      </c>
      <c r="K9" s="1">
        <v>0.70130000000000003</v>
      </c>
      <c r="L9" s="1">
        <v>0.4773</v>
      </c>
      <c r="M9" s="1">
        <v>0.77780000000000005</v>
      </c>
      <c r="N9" s="1">
        <v>0.59150000000000003</v>
      </c>
    </row>
    <row r="10" spans="1:14" x14ac:dyDescent="0.3">
      <c r="A10">
        <v>8</v>
      </c>
      <c r="B10" t="s">
        <v>9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</row>
    <row r="14" spans="1:14" x14ac:dyDescent="0.3">
      <c r="A14" s="6" t="s">
        <v>13</v>
      </c>
      <c r="B14" s="6"/>
      <c r="C14" s="2">
        <f t="shared" ref="C14:N14" si="0">AVERAGE(C3:C13)</f>
        <v>0.43789090909090916</v>
      </c>
      <c r="D14" s="2">
        <f t="shared" si="0"/>
        <v>0.69890909090909092</v>
      </c>
      <c r="E14" s="2">
        <f t="shared" si="0"/>
        <v>0.47745454545454541</v>
      </c>
      <c r="F14" s="2">
        <f t="shared" si="0"/>
        <v>0.34620000000000001</v>
      </c>
      <c r="G14" s="2">
        <f t="shared" si="0"/>
        <v>0.6685363636363636</v>
      </c>
      <c r="H14" s="2">
        <f t="shared" si="0"/>
        <v>0.40312727272727272</v>
      </c>
      <c r="I14" s="2">
        <f t="shared" si="0"/>
        <v>0.4943909090909091</v>
      </c>
      <c r="J14" s="2">
        <f t="shared" si="0"/>
        <v>0.81901818181818176</v>
      </c>
      <c r="K14" s="2">
        <f t="shared" si="0"/>
        <v>0.56153636363636361</v>
      </c>
      <c r="L14" s="2">
        <f t="shared" si="0"/>
        <v>0.43324545454545454</v>
      </c>
      <c r="M14" s="2">
        <f t="shared" si="0"/>
        <v>0.74294545454545446</v>
      </c>
      <c r="N14" s="2">
        <f t="shared" si="0"/>
        <v>0.47569999999999996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D3-CBC9-47AB-BA75-E160A3C58BDF}">
  <dimension ref="A1:N14"/>
  <sheetViews>
    <sheetView workbookViewId="0">
      <selection activeCell="M19" sqref="M19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6.4500000000000002E-2</v>
      </c>
      <c r="D3" s="1">
        <v>1</v>
      </c>
      <c r="E3" s="1">
        <v>0.1212</v>
      </c>
      <c r="F3" s="1">
        <v>9.0899999999999995E-2</v>
      </c>
      <c r="G3" s="1">
        <v>1</v>
      </c>
      <c r="H3" s="1">
        <v>0.16669999999999999</v>
      </c>
      <c r="I3" s="1">
        <v>5.4100000000000002E-2</v>
      </c>
      <c r="J3" s="1">
        <v>1</v>
      </c>
      <c r="K3" s="1">
        <v>0.1026</v>
      </c>
      <c r="L3" s="1">
        <v>3.7699999999999997E-2</v>
      </c>
      <c r="M3" s="1">
        <v>1</v>
      </c>
      <c r="N3" s="1">
        <v>7.2700000000000001E-2</v>
      </c>
    </row>
    <row r="4" spans="1:14" x14ac:dyDescent="0.3">
      <c r="A4">
        <v>2</v>
      </c>
      <c r="B4" t="s">
        <v>3</v>
      </c>
      <c r="C4" s="1">
        <v>0</v>
      </c>
      <c r="D4" s="1">
        <v>0</v>
      </c>
      <c r="E4" s="1">
        <v>0</v>
      </c>
      <c r="F4" s="1">
        <v>2.63E-2</v>
      </c>
      <c r="G4" s="1">
        <v>1</v>
      </c>
      <c r="H4" s="1">
        <v>5.1299999999999998E-2</v>
      </c>
      <c r="I4" s="1">
        <v>5.5599999999999997E-2</v>
      </c>
      <c r="J4" s="1">
        <v>1</v>
      </c>
      <c r="K4" s="1">
        <v>0.1053</v>
      </c>
      <c r="L4" s="1">
        <v>5.5599999999999997E-2</v>
      </c>
      <c r="M4" s="1">
        <v>1</v>
      </c>
      <c r="N4" s="1">
        <v>0.1053</v>
      </c>
    </row>
    <row r="5" spans="1:14" x14ac:dyDescent="0.3">
      <c r="A5">
        <v>3</v>
      </c>
      <c r="B5" t="s">
        <v>4</v>
      </c>
      <c r="C5" s="1">
        <v>5.8799999999999998E-2</v>
      </c>
      <c r="D5" s="1">
        <v>1</v>
      </c>
      <c r="E5" s="1">
        <v>0.1111</v>
      </c>
      <c r="F5" s="1">
        <v>0.25</v>
      </c>
      <c r="G5" s="1">
        <v>1</v>
      </c>
      <c r="H5" s="1">
        <v>0.4</v>
      </c>
      <c r="I5" s="1">
        <v>0.25</v>
      </c>
      <c r="J5" s="1">
        <v>1</v>
      </c>
      <c r="K5" s="1">
        <v>0.4</v>
      </c>
      <c r="L5" s="1">
        <v>0.25</v>
      </c>
      <c r="M5" s="1">
        <v>1</v>
      </c>
      <c r="N5" s="1">
        <v>0.4</v>
      </c>
    </row>
    <row r="6" spans="1:14" x14ac:dyDescent="0.3">
      <c r="A6">
        <v>4</v>
      </c>
      <c r="B6" t="s">
        <v>5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0.42859999999999998</v>
      </c>
      <c r="D7" s="1">
        <v>0.5</v>
      </c>
      <c r="E7" s="1">
        <v>0.46150000000000002</v>
      </c>
      <c r="F7" s="1">
        <v>0.42420000000000002</v>
      </c>
      <c r="G7" s="1">
        <v>0.58330000000000004</v>
      </c>
      <c r="H7" s="1">
        <v>0.49120000000000003</v>
      </c>
      <c r="I7" s="1">
        <v>0.37140000000000001</v>
      </c>
      <c r="J7" s="1">
        <v>0.54169999999999996</v>
      </c>
      <c r="K7" s="1">
        <v>0.44069999999999998</v>
      </c>
      <c r="L7" s="1">
        <v>0.1346</v>
      </c>
      <c r="M7" s="1">
        <v>0.29170000000000001</v>
      </c>
      <c r="N7" s="1">
        <v>0.1842</v>
      </c>
    </row>
    <row r="8" spans="1:14" x14ac:dyDescent="0.3">
      <c r="A8">
        <v>6</v>
      </c>
      <c r="B8" t="s">
        <v>7</v>
      </c>
      <c r="C8" s="1">
        <v>0.48</v>
      </c>
      <c r="D8" s="1">
        <v>0.1283</v>
      </c>
      <c r="E8" s="1">
        <v>0.20250000000000001</v>
      </c>
      <c r="F8" s="1">
        <v>0.69569999999999999</v>
      </c>
      <c r="G8" s="1">
        <v>0.3422</v>
      </c>
      <c r="H8" s="1">
        <v>0.45879999999999999</v>
      </c>
      <c r="I8" s="1">
        <v>0.73909999999999998</v>
      </c>
      <c r="J8" s="1">
        <v>0.18179999999999999</v>
      </c>
      <c r="K8" s="1">
        <v>0.2918</v>
      </c>
      <c r="L8" s="1">
        <v>0.3725</v>
      </c>
      <c r="M8" s="1">
        <v>0.1016</v>
      </c>
      <c r="N8" s="1">
        <v>0.15970000000000001</v>
      </c>
    </row>
    <row r="9" spans="1:14" x14ac:dyDescent="0.3">
      <c r="A9">
        <v>7</v>
      </c>
      <c r="B9" t="s">
        <v>8</v>
      </c>
      <c r="C9" s="1">
        <v>0.29170000000000001</v>
      </c>
      <c r="D9" s="1">
        <v>0.21879999999999999</v>
      </c>
      <c r="E9" s="1">
        <v>0.25</v>
      </c>
      <c r="F9" s="1">
        <v>0.16669999999999999</v>
      </c>
      <c r="G9" s="1">
        <v>0.21879999999999999</v>
      </c>
      <c r="H9" s="1">
        <v>0.18920000000000001</v>
      </c>
      <c r="I9" s="1">
        <v>0.5333</v>
      </c>
      <c r="J9" s="1">
        <v>0.75</v>
      </c>
      <c r="K9" s="1">
        <v>0.62339999999999995</v>
      </c>
      <c r="L9" s="1">
        <v>1</v>
      </c>
      <c r="M9" s="1">
        <v>0.53129999999999999</v>
      </c>
      <c r="N9" s="1">
        <v>0.69389999999999996</v>
      </c>
    </row>
    <row r="10" spans="1:14" x14ac:dyDescent="0.3">
      <c r="A10">
        <v>8</v>
      </c>
      <c r="B10" t="s">
        <v>9</v>
      </c>
      <c r="C10" s="1">
        <v>0.37140000000000001</v>
      </c>
      <c r="D10" s="1">
        <v>0.31709999999999999</v>
      </c>
      <c r="E10" s="1">
        <v>0.34210000000000002</v>
      </c>
      <c r="F10" s="1">
        <v>0.60870000000000002</v>
      </c>
      <c r="G10" s="1">
        <v>0.34150000000000003</v>
      </c>
      <c r="H10" s="1">
        <v>0.4375</v>
      </c>
      <c r="I10" s="1">
        <v>0.58930000000000005</v>
      </c>
      <c r="J10" s="1">
        <v>0.80489999999999995</v>
      </c>
      <c r="K10" s="1">
        <v>0.6804</v>
      </c>
      <c r="L10" s="1">
        <v>0.52080000000000004</v>
      </c>
      <c r="M10" s="1">
        <v>0.60980000000000001</v>
      </c>
      <c r="N10" s="1">
        <v>0.56179999999999997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6" t="s">
        <v>13</v>
      </c>
      <c r="B14" s="6"/>
      <c r="C14" s="2">
        <f t="shared" ref="C14:N14" si="0">AVERAGE(C3:C13)</f>
        <v>0.33590909090909088</v>
      </c>
      <c r="D14" s="2">
        <f t="shared" si="0"/>
        <v>0.46947272727272726</v>
      </c>
      <c r="E14" s="2">
        <f t="shared" si="0"/>
        <v>0.3171272727272727</v>
      </c>
      <c r="F14" s="2">
        <f t="shared" si="0"/>
        <v>0.20568181818181819</v>
      </c>
      <c r="G14" s="2">
        <f t="shared" si="0"/>
        <v>0.4078</v>
      </c>
      <c r="H14" s="2">
        <f t="shared" si="0"/>
        <v>0.19951818181818182</v>
      </c>
      <c r="I14" s="2">
        <f t="shared" si="0"/>
        <v>0.23570909090909095</v>
      </c>
      <c r="J14" s="2">
        <f t="shared" si="0"/>
        <v>0.47985454545454542</v>
      </c>
      <c r="K14" s="2">
        <f t="shared" si="0"/>
        <v>0.2403818181818182</v>
      </c>
      <c r="L14" s="2">
        <f t="shared" si="0"/>
        <v>0.30647272727272729</v>
      </c>
      <c r="M14" s="2">
        <f t="shared" si="0"/>
        <v>0.50312727272727276</v>
      </c>
      <c r="N14" s="2">
        <f t="shared" si="0"/>
        <v>0.28887272727272728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41C-5682-4F5C-B8CF-C2F8C5F0E58F}">
  <dimension ref="A1:N14"/>
  <sheetViews>
    <sheetView workbookViewId="0">
      <selection activeCell="I19" sqref="I19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14</v>
      </c>
      <c r="D1" s="6"/>
      <c r="E1" s="6"/>
      <c r="F1" s="6" t="s">
        <v>15</v>
      </c>
      <c r="G1" s="6"/>
      <c r="H1" s="6"/>
      <c r="I1" s="6" t="s">
        <v>16</v>
      </c>
      <c r="J1" s="6"/>
      <c r="K1" s="6"/>
      <c r="L1" s="6" t="s">
        <v>17</v>
      </c>
      <c r="M1" s="6"/>
      <c r="N1" s="6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0.16669999999999999</v>
      </c>
      <c r="D3" s="1">
        <v>1</v>
      </c>
      <c r="E3" s="1">
        <v>0.28570000000000001</v>
      </c>
      <c r="F3" s="1">
        <v>0.1905</v>
      </c>
      <c r="G3" s="1">
        <v>1</v>
      </c>
      <c r="H3" s="1">
        <v>0.32</v>
      </c>
      <c r="I3" s="1">
        <v>0.1</v>
      </c>
      <c r="J3" s="1">
        <v>1</v>
      </c>
      <c r="K3" s="1">
        <v>0.18179999999999999</v>
      </c>
      <c r="L3" s="1">
        <v>0.08</v>
      </c>
      <c r="M3" s="1">
        <v>1</v>
      </c>
      <c r="N3" s="1">
        <v>0.14810000000000001</v>
      </c>
    </row>
    <row r="4" spans="1:14" x14ac:dyDescent="0.3">
      <c r="A4">
        <v>2</v>
      </c>
      <c r="B4" t="s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3">
      <c r="A5">
        <v>3</v>
      </c>
      <c r="B5" t="s">
        <v>4</v>
      </c>
      <c r="C5" s="1">
        <v>0.18179999999999999</v>
      </c>
      <c r="D5" s="1">
        <v>1</v>
      </c>
      <c r="E5" s="1">
        <v>0.30769999999999997</v>
      </c>
      <c r="F5" s="1">
        <v>0.18179999999999999</v>
      </c>
      <c r="G5" s="1">
        <v>1</v>
      </c>
      <c r="H5" s="1">
        <v>0.30769999999999997</v>
      </c>
      <c r="I5" s="1">
        <v>0.1053</v>
      </c>
      <c r="J5" s="1">
        <v>1</v>
      </c>
      <c r="K5" s="1">
        <v>0.1905</v>
      </c>
      <c r="L5" s="1">
        <v>2.35E-2</v>
      </c>
      <c r="M5" s="1">
        <v>1</v>
      </c>
      <c r="N5" s="1">
        <v>4.5999999999999999E-2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0.44190000000000002</v>
      </c>
      <c r="D7" s="1">
        <v>0.14499999999999999</v>
      </c>
      <c r="E7" s="1">
        <v>0.21840000000000001</v>
      </c>
      <c r="F7" s="1">
        <v>0.32</v>
      </c>
      <c r="G7" s="1">
        <v>6.1100000000000002E-2</v>
      </c>
      <c r="H7" s="1">
        <v>0.1026</v>
      </c>
      <c r="I7" s="1">
        <v>0.4</v>
      </c>
      <c r="J7" s="1">
        <v>0.1069</v>
      </c>
      <c r="K7" s="1">
        <v>0.16869999999999999</v>
      </c>
      <c r="L7" s="1">
        <v>0.32</v>
      </c>
      <c r="M7" s="1">
        <v>6.1100000000000002E-2</v>
      </c>
      <c r="N7" s="1">
        <v>0.1026</v>
      </c>
    </row>
    <row r="8" spans="1:14" x14ac:dyDescent="0.3">
      <c r="A8">
        <v>6</v>
      </c>
      <c r="B8" t="s">
        <v>7</v>
      </c>
      <c r="C8" s="1">
        <v>0.16669999999999999</v>
      </c>
      <c r="D8" s="1">
        <v>0.1714</v>
      </c>
      <c r="E8" s="1">
        <v>0.16900000000000001</v>
      </c>
      <c r="F8" s="1">
        <v>8.6999999999999994E-2</v>
      </c>
      <c r="G8" s="1">
        <v>0.2286</v>
      </c>
      <c r="H8" s="1">
        <v>0.126</v>
      </c>
      <c r="I8" s="1">
        <v>9.7600000000000006E-2</v>
      </c>
      <c r="J8" s="1">
        <v>0.1143</v>
      </c>
      <c r="K8" s="1">
        <v>0.1053</v>
      </c>
      <c r="L8" s="1">
        <v>0.10390000000000001</v>
      </c>
      <c r="M8" s="1">
        <v>0.2286</v>
      </c>
      <c r="N8" s="1">
        <v>0.1429</v>
      </c>
    </row>
    <row r="9" spans="1:14" x14ac:dyDescent="0.3">
      <c r="A9">
        <v>7</v>
      </c>
      <c r="B9" t="s">
        <v>8</v>
      </c>
      <c r="C9" s="1">
        <v>0.625</v>
      </c>
      <c r="D9" s="1">
        <v>0.33329999999999999</v>
      </c>
      <c r="E9" s="1">
        <v>0.43480000000000002</v>
      </c>
      <c r="F9" s="1">
        <v>0.69489999999999996</v>
      </c>
      <c r="G9" s="1">
        <v>0.4556</v>
      </c>
      <c r="H9" s="1">
        <v>0.55030000000000001</v>
      </c>
      <c r="I9" s="1">
        <v>0.35560000000000003</v>
      </c>
      <c r="J9" s="1">
        <v>0.17780000000000001</v>
      </c>
      <c r="K9" s="1">
        <v>0.23699999999999999</v>
      </c>
      <c r="L9" s="1">
        <v>0.3231</v>
      </c>
      <c r="M9" s="1">
        <v>0.23330000000000001</v>
      </c>
      <c r="N9" s="1">
        <v>0.27100000000000002</v>
      </c>
    </row>
    <row r="10" spans="1:14" x14ac:dyDescent="0.3">
      <c r="A10">
        <v>8</v>
      </c>
      <c r="B10" t="s">
        <v>9</v>
      </c>
      <c r="C10" s="1">
        <v>0.39129999999999998</v>
      </c>
      <c r="D10" s="1">
        <v>1</v>
      </c>
      <c r="E10" s="1">
        <v>0.5625</v>
      </c>
      <c r="F10" s="1">
        <v>0</v>
      </c>
      <c r="G10" s="1">
        <v>0</v>
      </c>
      <c r="H10" s="1">
        <v>0</v>
      </c>
      <c r="I10" s="1">
        <v>0.31030000000000002</v>
      </c>
      <c r="J10" s="1">
        <v>1</v>
      </c>
      <c r="K10" s="1">
        <v>0.47370000000000001</v>
      </c>
      <c r="L10" s="1">
        <v>0.31030000000000002</v>
      </c>
      <c r="M10" s="1">
        <v>1</v>
      </c>
      <c r="N10" s="1">
        <v>0.47370000000000001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1</v>
      </c>
      <c r="D13" s="1">
        <v>0.26519999999999999</v>
      </c>
      <c r="E13" s="1">
        <v>0.41920000000000002</v>
      </c>
      <c r="F13" s="1">
        <v>0</v>
      </c>
      <c r="G13" s="1">
        <v>0</v>
      </c>
      <c r="H13" s="1">
        <v>0</v>
      </c>
      <c r="I13" s="1">
        <v>0.63270000000000004</v>
      </c>
      <c r="J13" s="1">
        <v>0.23480000000000001</v>
      </c>
      <c r="K13" s="1">
        <v>0.34250000000000003</v>
      </c>
      <c r="L13" s="1">
        <v>0.85070000000000001</v>
      </c>
      <c r="M13" s="1">
        <v>0.43180000000000002</v>
      </c>
      <c r="N13" s="1">
        <v>0.57289999999999996</v>
      </c>
    </row>
    <row r="14" spans="1:14" x14ac:dyDescent="0.3">
      <c r="A14" s="6" t="s">
        <v>13</v>
      </c>
      <c r="B14" s="6"/>
      <c r="C14" s="2">
        <f t="shared" ref="C14:N14" si="0">AVERAGE(C3:C13)</f>
        <v>0.36121818181818183</v>
      </c>
      <c r="D14" s="2">
        <f t="shared" si="0"/>
        <v>0.44680909090909088</v>
      </c>
      <c r="E14" s="2">
        <f t="shared" si="0"/>
        <v>0.30884545454545453</v>
      </c>
      <c r="F14" s="2">
        <f t="shared" si="0"/>
        <v>0.31583636363636364</v>
      </c>
      <c r="G14" s="2">
        <f t="shared" si="0"/>
        <v>0.4313909090909091</v>
      </c>
      <c r="H14" s="2">
        <f t="shared" si="0"/>
        <v>0.30969090909090907</v>
      </c>
      <c r="I14" s="2">
        <f t="shared" si="0"/>
        <v>0.18195454545454545</v>
      </c>
      <c r="J14" s="2">
        <f t="shared" si="0"/>
        <v>0.33034545454545455</v>
      </c>
      <c r="K14" s="2">
        <f t="shared" si="0"/>
        <v>0.15449999999999997</v>
      </c>
      <c r="L14" s="2">
        <f t="shared" si="0"/>
        <v>0.27377272727272728</v>
      </c>
      <c r="M14" s="2">
        <f t="shared" si="0"/>
        <v>0.45043636363636358</v>
      </c>
      <c r="N14" s="2">
        <f t="shared" si="0"/>
        <v>0.25065454545454546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</vt:lpstr>
      <vt:lpstr>jaki</vt:lpstr>
      <vt:lpstr>kemnaker</vt:lpstr>
      <vt:lpstr>rumahpendidikan</vt:lpstr>
      <vt:lpstr>satusehat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 OCTORA</dc:creator>
  <cp:lastModifiedBy>VERO ARNEAL OCTORA</cp:lastModifiedBy>
  <dcterms:created xsi:type="dcterms:W3CDTF">2025-12-13T07:04:31Z</dcterms:created>
  <dcterms:modified xsi:type="dcterms:W3CDTF">2025-12-29T02:58:10Z</dcterms:modified>
</cp:coreProperties>
</file>
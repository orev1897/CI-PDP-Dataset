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veroarneal_student_telkomuniversity_ac_id/Documents/Ku.li.ah - 203022320012/Semester IV/Thesis/Dataset &amp; Results/E-Commerce/01. RESULTS/"/>
    </mc:Choice>
  </mc:AlternateContent>
  <xr:revisionPtr revIDLastSave="92" documentId="8_{111FB544-1306-4362-B0E3-67EFAEB17A15}" xr6:coauthVersionLast="47" xr6:coauthVersionMax="47" xr10:uidLastSave="{7FED0262-4755-4D3C-8627-5DA67C5EAECB}"/>
  <bookViews>
    <workbookView minimized="1" xWindow="3396" yWindow="2580" windowWidth="17280" windowHeight="8880" activeTab="4" xr2:uid="{8FD09F32-6554-4E25-AD72-3F8DEA4F3296}"/>
  </bookViews>
  <sheets>
    <sheet name="Blibli" sheetId="1" r:id="rId1"/>
    <sheet name="Lazada" sheetId="2" r:id="rId2"/>
    <sheet name="Shopee" sheetId="3" r:id="rId3"/>
    <sheet name="Zalora" sheetId="4" r:id="rId4"/>
    <sheet name="averag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5" l="1"/>
  <c r="D23" i="5"/>
  <c r="E23" i="5"/>
  <c r="F23" i="5"/>
  <c r="G23" i="5"/>
  <c r="H23" i="5"/>
  <c r="I23" i="5"/>
  <c r="J23" i="5"/>
  <c r="K23" i="5"/>
  <c r="L23" i="5"/>
  <c r="M23" i="5"/>
  <c r="B23" i="5"/>
  <c r="C8" i="5"/>
  <c r="D8" i="5"/>
  <c r="E8" i="5"/>
  <c r="F8" i="5"/>
  <c r="G8" i="5"/>
  <c r="H8" i="5"/>
  <c r="I8" i="5"/>
  <c r="J8" i="5"/>
  <c r="K8" i="5"/>
  <c r="L8" i="5"/>
  <c r="M8" i="5"/>
  <c r="B8" i="5"/>
  <c r="C5" i="5"/>
  <c r="D5" i="5"/>
  <c r="E5" i="5"/>
  <c r="F5" i="5"/>
  <c r="G5" i="5"/>
  <c r="H5" i="5"/>
  <c r="I5" i="5"/>
  <c r="J5" i="5"/>
  <c r="K5" i="5"/>
  <c r="L5" i="5"/>
  <c r="M5" i="5"/>
  <c r="C6" i="5"/>
  <c r="D6" i="5"/>
  <c r="E6" i="5"/>
  <c r="F6" i="5"/>
  <c r="G6" i="5"/>
  <c r="H6" i="5"/>
  <c r="I6" i="5"/>
  <c r="J6" i="5"/>
  <c r="K6" i="5"/>
  <c r="L6" i="5"/>
  <c r="M6" i="5"/>
  <c r="C7" i="5"/>
  <c r="D7" i="5"/>
  <c r="E7" i="5"/>
  <c r="F7" i="5"/>
  <c r="G7" i="5"/>
  <c r="H7" i="5"/>
  <c r="I7" i="5"/>
  <c r="J7" i="5"/>
  <c r="K7" i="5"/>
  <c r="L7" i="5"/>
  <c r="M7" i="5"/>
  <c r="B7" i="5"/>
  <c r="B6" i="5"/>
  <c r="B5" i="5"/>
  <c r="C4" i="5"/>
  <c r="D4" i="5"/>
  <c r="E4" i="5"/>
  <c r="F4" i="5"/>
  <c r="G4" i="5"/>
  <c r="H4" i="5"/>
  <c r="I4" i="5"/>
  <c r="J4" i="5"/>
  <c r="K4" i="5"/>
  <c r="L4" i="5"/>
  <c r="M4" i="5"/>
  <c r="B4" i="5"/>
  <c r="N14" i="4"/>
  <c r="M14" i="4"/>
  <c r="L14" i="4"/>
  <c r="K14" i="4"/>
  <c r="J14" i="4"/>
  <c r="I14" i="4"/>
  <c r="H14" i="4"/>
  <c r="G14" i="4"/>
  <c r="F14" i="4"/>
  <c r="E14" i="4"/>
  <c r="D14" i="4"/>
  <c r="C14" i="4"/>
  <c r="D14" i="3"/>
  <c r="E14" i="3"/>
  <c r="F14" i="3"/>
  <c r="G14" i="3"/>
  <c r="H14" i="3"/>
  <c r="I14" i="3"/>
  <c r="J14" i="3"/>
  <c r="K14" i="3"/>
  <c r="L14" i="3"/>
  <c r="M14" i="3"/>
  <c r="N14" i="3"/>
  <c r="C14" i="3"/>
  <c r="D14" i="2"/>
  <c r="E14" i="2"/>
  <c r="F14" i="2"/>
  <c r="G14" i="2"/>
  <c r="H14" i="2"/>
  <c r="I14" i="2"/>
  <c r="J14" i="2"/>
  <c r="K14" i="2"/>
  <c r="L14" i="2"/>
  <c r="M14" i="2"/>
  <c r="N14" i="2"/>
  <c r="C14" i="2"/>
  <c r="D14" i="1"/>
  <c r="E14" i="1"/>
  <c r="F14" i="1"/>
  <c r="G14" i="1"/>
  <c r="H14" i="1"/>
  <c r="I14" i="1"/>
  <c r="J14" i="1"/>
  <c r="K14" i="1"/>
  <c r="L14" i="1"/>
  <c r="M14" i="1"/>
  <c r="N14" i="1"/>
  <c r="C14" i="1"/>
</calcChain>
</file>

<file path=xl/sharedStrings.xml><?xml version="1.0" encoding="utf-8"?>
<sst xmlns="http://schemas.openxmlformats.org/spreadsheetml/2006/main" count="160" uniqueCount="26">
  <si>
    <t>No</t>
  </si>
  <si>
    <t>Parameter</t>
  </si>
  <si>
    <t>Pengirim/pengendali data</t>
  </si>
  <si>
    <t>Penerima/prosesor data</t>
  </si>
  <si>
    <t>Subjek data</t>
  </si>
  <si>
    <t>Prinsip Transmisi</t>
  </si>
  <si>
    <t>Legalitas dari Pemrosesan Data Pribadi</t>
  </si>
  <si>
    <t>Tujuan Pemrosesan Data Pribadi</t>
  </si>
  <si>
    <t>Jenis dan Relevansi Data Pribadi yang akan diproses</t>
  </si>
  <si>
    <t>Jangka Waktu Retensi Dokumen yang Memuat Data Pribadi</t>
  </si>
  <si>
    <t>Rincian Mengenai Informasi yang Dikumpulkan</t>
  </si>
  <si>
    <t>Jangka Waktu Pemrosesan Data Pribadi</t>
  </si>
  <si>
    <t>Hak Subjek Data Pribadi</t>
  </si>
  <si>
    <t>Average</t>
  </si>
  <si>
    <t>ChatGPT</t>
  </si>
  <si>
    <t>Gemini</t>
  </si>
  <si>
    <t>Grok</t>
  </si>
  <si>
    <t>Perplexity</t>
  </si>
  <si>
    <t>Precision</t>
  </si>
  <si>
    <t>Recall</t>
  </si>
  <si>
    <t>F1-Score</t>
  </si>
  <si>
    <t>Blibli</t>
  </si>
  <si>
    <t>Lazada</t>
  </si>
  <si>
    <t>Shopee</t>
  </si>
  <si>
    <t>Zalora</t>
  </si>
  <si>
    <t>overall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</si>
</sst>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1" applyNumberFormat="1" applyFont="1"/>
    <xf numFmtId="0" fontId="0" fillId="0" borderId="1" xfId="0" applyBorder="1"/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Macro Average 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average!$A$4</c:f>
              <c:strCache>
                <c:ptCount val="1"/>
                <c:pt idx="0">
                  <c:v>Blibli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(average!$B$4,average!$E$4,average!$H$4,average!$K$4)</c:f>
              <c:numCache>
                <c:formatCode>0.00%</c:formatCode>
                <c:ptCount val="4"/>
                <c:pt idx="0">
                  <c:v>0.19315454545454544</c:v>
                </c:pt>
                <c:pt idx="1">
                  <c:v>0.17136363636363636</c:v>
                </c:pt>
                <c:pt idx="2">
                  <c:v>0.18528181818181819</c:v>
                </c:pt>
                <c:pt idx="3">
                  <c:v>0.36073636363636363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3-42BF-BE96-1F30D35C8109}"/>
            </c:ext>
          </c:extLst>
        </c:ser>
        <c:ser>
          <c:idx val="1"/>
          <c:order val="1"/>
          <c:tx>
            <c:strRef>
              <c:f>average!$A$5</c:f>
              <c:strCache>
                <c:ptCount val="1"/>
                <c:pt idx="0">
                  <c:v>Lazada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(average!$B$5,average!$E$5,average!$H$5,average!$K$5)</c:f>
              <c:numCache>
                <c:formatCode>0.00%</c:formatCode>
                <c:ptCount val="4"/>
                <c:pt idx="0">
                  <c:v>0.43952727272727271</c:v>
                </c:pt>
                <c:pt idx="1">
                  <c:v>0.37653636363636361</c:v>
                </c:pt>
                <c:pt idx="2">
                  <c:v>0.4207636363636364</c:v>
                </c:pt>
                <c:pt idx="3">
                  <c:v>0.43952727272727271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B3-42BF-BE96-1F30D35C8109}"/>
            </c:ext>
          </c:extLst>
        </c:ser>
        <c:ser>
          <c:idx val="2"/>
          <c:order val="2"/>
          <c:tx>
            <c:strRef>
              <c:f>average!$A$6</c:f>
              <c:strCache>
                <c:ptCount val="1"/>
                <c:pt idx="0">
                  <c:v>Shopee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(average!$B$6,average!$E$6,average!$H$6,average!$K$6)</c:f>
              <c:numCache>
                <c:formatCode>0.00%</c:formatCode>
                <c:ptCount val="4"/>
                <c:pt idx="0">
                  <c:v>0.43517272727272721</c:v>
                </c:pt>
                <c:pt idx="1">
                  <c:v>9.0909090909090912E-2</c:v>
                </c:pt>
                <c:pt idx="2">
                  <c:v>0.40950000000000003</c:v>
                </c:pt>
                <c:pt idx="3">
                  <c:v>0.44516363636363643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B3-42BF-BE96-1F30D35C8109}"/>
            </c:ext>
          </c:extLst>
        </c:ser>
        <c:ser>
          <c:idx val="3"/>
          <c:order val="3"/>
          <c:tx>
            <c:strRef>
              <c:f>average!$A$7</c:f>
              <c:strCache>
                <c:ptCount val="1"/>
                <c:pt idx="0">
                  <c:v>Zalora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average!$B$7:$M$7</c15:sqref>
                  </c15:fullRef>
                </c:ext>
              </c:extLst>
              <c:f>(average!$B$7,average!$E$7,average!$H$7,average!$K$7)</c:f>
              <c:numCache>
                <c:formatCode>0.00%</c:formatCode>
                <c:ptCount val="4"/>
                <c:pt idx="0">
                  <c:v>0.33325454545454547</c:v>
                </c:pt>
                <c:pt idx="1">
                  <c:v>0.11400909090909091</c:v>
                </c:pt>
                <c:pt idx="2">
                  <c:v>0.40201818181818183</c:v>
                </c:pt>
                <c:pt idx="3">
                  <c:v>0.43237272727272719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B3-42BF-BE96-1F30D35C8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839279"/>
        <c:axId val="1098849359"/>
      </c:barChart>
      <c:catAx>
        <c:axId val="109883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49359"/>
        <c:crosses val="autoZero"/>
        <c:auto val="1"/>
        <c:lblAlgn val="ctr"/>
        <c:lblOffset val="100"/>
        <c:noMultiLvlLbl val="0"/>
      </c:catAx>
      <c:valAx>
        <c:axId val="109884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3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Macro Average Recall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average!$A$4</c:f>
              <c:strCache>
                <c:ptCount val="1"/>
                <c:pt idx="0">
                  <c:v>Blibli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(average!$B$4,average!$E$4,average!$H$4,average!$K$4)</c:f>
              <c:numCache>
                <c:formatCode>0.00%</c:formatCode>
                <c:ptCount val="4"/>
                <c:pt idx="0">
                  <c:v>0.19315454545454544</c:v>
                </c:pt>
                <c:pt idx="1">
                  <c:v>0.17136363636363636</c:v>
                </c:pt>
                <c:pt idx="2">
                  <c:v>0.18528181818181819</c:v>
                </c:pt>
                <c:pt idx="3">
                  <c:v>0.36073636363636363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D-440E-B93D-19E282C27A6A}"/>
            </c:ext>
          </c:extLst>
        </c:ser>
        <c:ser>
          <c:idx val="1"/>
          <c:order val="1"/>
          <c:tx>
            <c:strRef>
              <c:f>average!$A$5</c:f>
              <c:strCache>
                <c:ptCount val="1"/>
                <c:pt idx="0">
                  <c:v>Lazada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(average!$B$5,average!$E$5,average!$H$5,average!$K$5)</c:f>
              <c:numCache>
                <c:formatCode>0.00%</c:formatCode>
                <c:ptCount val="4"/>
                <c:pt idx="0">
                  <c:v>0.43952727272727271</c:v>
                </c:pt>
                <c:pt idx="1">
                  <c:v>0.37653636363636361</c:v>
                </c:pt>
                <c:pt idx="2">
                  <c:v>0.4207636363636364</c:v>
                </c:pt>
                <c:pt idx="3">
                  <c:v>0.43952727272727271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BD-440E-B93D-19E282C27A6A}"/>
            </c:ext>
          </c:extLst>
        </c:ser>
        <c:ser>
          <c:idx val="2"/>
          <c:order val="2"/>
          <c:tx>
            <c:strRef>
              <c:f>average!$A$6</c:f>
              <c:strCache>
                <c:ptCount val="1"/>
                <c:pt idx="0">
                  <c:v>Shopee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(average!$B$6,average!$E$6,average!$H$6,average!$K$6)</c:f>
              <c:numCache>
                <c:formatCode>0.00%</c:formatCode>
                <c:ptCount val="4"/>
                <c:pt idx="0">
                  <c:v>0.43517272727272721</c:v>
                </c:pt>
                <c:pt idx="1">
                  <c:v>9.0909090909090912E-2</c:v>
                </c:pt>
                <c:pt idx="2">
                  <c:v>0.40950000000000003</c:v>
                </c:pt>
                <c:pt idx="3">
                  <c:v>0.44516363636363643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BD-440E-B93D-19E282C27A6A}"/>
            </c:ext>
          </c:extLst>
        </c:ser>
        <c:ser>
          <c:idx val="3"/>
          <c:order val="3"/>
          <c:tx>
            <c:strRef>
              <c:f>average!$A$7</c:f>
              <c:strCache>
                <c:ptCount val="1"/>
                <c:pt idx="0">
                  <c:v>Zalora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average!$B$7:$M$7</c15:sqref>
                  </c15:fullRef>
                </c:ext>
              </c:extLst>
              <c:f>(average!$B$7,average!$E$7,average!$H$7,average!$K$7)</c:f>
              <c:numCache>
                <c:formatCode>0.00%</c:formatCode>
                <c:ptCount val="4"/>
                <c:pt idx="0">
                  <c:v>0.33325454545454547</c:v>
                </c:pt>
                <c:pt idx="1">
                  <c:v>0.11400909090909091</c:v>
                </c:pt>
                <c:pt idx="2">
                  <c:v>0.40201818181818183</c:v>
                </c:pt>
                <c:pt idx="3">
                  <c:v>0.43237272727272719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BD-440E-B93D-19E282C27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839279"/>
        <c:axId val="1098849359"/>
      </c:barChart>
      <c:catAx>
        <c:axId val="109883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49359"/>
        <c:crosses val="autoZero"/>
        <c:auto val="1"/>
        <c:lblAlgn val="ctr"/>
        <c:lblOffset val="100"/>
        <c:noMultiLvlLbl val="0"/>
      </c:catAx>
      <c:valAx>
        <c:axId val="109884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3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Macro Average F1-Score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average!$A$4</c:f>
              <c:strCache>
                <c:ptCount val="1"/>
                <c:pt idx="0">
                  <c:v>Blibli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(average!$D$4,average!$G$4,average!$J$4,average!$M$4)</c:f>
              <c:numCache>
                <c:formatCode>0.00%</c:formatCode>
                <c:ptCount val="4"/>
                <c:pt idx="0">
                  <c:v>0.17929090909090908</c:v>
                </c:pt>
                <c:pt idx="1">
                  <c:v>0.19950909090909089</c:v>
                </c:pt>
                <c:pt idx="2">
                  <c:v>0.15907272727272728</c:v>
                </c:pt>
                <c:pt idx="3">
                  <c:v>0.32277272727272727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7-45CC-B5C3-912BC0AF6127}"/>
            </c:ext>
          </c:extLst>
        </c:ser>
        <c:ser>
          <c:idx val="1"/>
          <c:order val="1"/>
          <c:tx>
            <c:strRef>
              <c:f>average!$A$5</c:f>
              <c:strCache>
                <c:ptCount val="1"/>
                <c:pt idx="0">
                  <c:v>Lazada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(average!$D$5,average!$G$5,average!$J$5,average!$M$5)</c:f>
              <c:numCache>
                <c:formatCode>0.00%</c:formatCode>
                <c:ptCount val="4"/>
                <c:pt idx="0">
                  <c:v>0.34971818181818182</c:v>
                </c:pt>
                <c:pt idx="1">
                  <c:v>0.28741818181818179</c:v>
                </c:pt>
                <c:pt idx="2">
                  <c:v>0.36990000000000001</c:v>
                </c:pt>
                <c:pt idx="3">
                  <c:v>0.34971818181818182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7-45CC-B5C3-912BC0AF6127}"/>
            </c:ext>
          </c:extLst>
        </c:ser>
        <c:ser>
          <c:idx val="2"/>
          <c:order val="2"/>
          <c:tx>
            <c:strRef>
              <c:f>average!$A$6</c:f>
              <c:strCache>
                <c:ptCount val="1"/>
                <c:pt idx="0">
                  <c:v>Shopee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(average!$D$6,average!$G$6,average!$J$6,average!$M$6)</c:f>
              <c:numCache>
                <c:formatCode>0.00%</c:formatCode>
                <c:ptCount val="4"/>
                <c:pt idx="0">
                  <c:v>0.32704545454545458</c:v>
                </c:pt>
                <c:pt idx="1">
                  <c:v>9.0909090909090912E-2</c:v>
                </c:pt>
                <c:pt idx="2">
                  <c:v>0.38319090909090908</c:v>
                </c:pt>
                <c:pt idx="3">
                  <c:v>0.35681818181818176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27-45CC-B5C3-912BC0AF6127}"/>
            </c:ext>
          </c:extLst>
        </c:ser>
        <c:ser>
          <c:idx val="3"/>
          <c:order val="3"/>
          <c:tx>
            <c:strRef>
              <c:f>average!$A$7</c:f>
              <c:strCache>
                <c:ptCount val="1"/>
                <c:pt idx="0">
                  <c:v>Zalora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average!$B$7:$M$7</c15:sqref>
                  </c15:fullRef>
                </c:ext>
              </c:extLst>
              <c:f>(average!$D$7,average!$G$7,average!$J$7,average!$M$7)</c:f>
              <c:numCache>
                <c:formatCode>0.00%</c:formatCode>
                <c:ptCount val="4"/>
                <c:pt idx="0">
                  <c:v>0.19501818181818181</c:v>
                </c:pt>
                <c:pt idx="1">
                  <c:v>9.357272727272728E-2</c:v>
                </c:pt>
                <c:pt idx="2">
                  <c:v>0.40171818181818186</c:v>
                </c:pt>
                <c:pt idx="3">
                  <c:v>0.35052727272727274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27-45CC-B5C3-912BC0AF6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839279"/>
        <c:axId val="1098849359"/>
      </c:barChart>
      <c:catAx>
        <c:axId val="109883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49359"/>
        <c:crosses val="autoZero"/>
        <c:auto val="1"/>
        <c:lblAlgn val="ctr"/>
        <c:lblOffset val="100"/>
        <c:noMultiLvlLbl val="0"/>
      </c:catAx>
      <c:valAx>
        <c:axId val="109884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3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average!$A$8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average!$B$8:$M$8</c15:sqref>
                  </c15:fullRef>
                </c:ext>
              </c:extLst>
              <c:f>(average!$B$8,average!$E$8,average!$H$8,average!$K$8)</c:f>
              <c:numCache>
                <c:formatCode>0.00%</c:formatCode>
                <c:ptCount val="4"/>
                <c:pt idx="0">
                  <c:v>0.35027727272727271</c:v>
                </c:pt>
                <c:pt idx="1">
                  <c:v>0.18820454545454546</c:v>
                </c:pt>
                <c:pt idx="2">
                  <c:v>0.35439090909090909</c:v>
                </c:pt>
                <c:pt idx="3">
                  <c:v>0.41944999999999999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14-4199-BEA8-E4232F4306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35151535"/>
        <c:axId val="10351510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average!$A$4</c15:sqref>
                        </c15:formulaRef>
                      </c:ext>
                    </c:extLst>
                    <c:strCache>
                      <c:ptCount val="1"/>
                      <c:pt idx="0">
                        <c:v>Blibli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average!$B$2:$M$3</c15:sqref>
                        </c15:fullRef>
                        <c15:formulaRef>
                          <c15:sqref>(average!$B$2:$B$3,average!$E$2:$E$3,average!$H$2:$H$3,average!$K$2:$K$3)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average!$B$4:$M$4</c15:sqref>
                        </c15:fullRef>
                        <c15:formulaRef>
                          <c15:sqref>(average!$B$4,average!$E$4,average!$H$4,average!$K$4)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0.19315454545454544</c:v>
                      </c:pt>
                      <c:pt idx="1">
                        <c:v>0.17136363636363636</c:v>
                      </c:pt>
                      <c:pt idx="2">
                        <c:v>0.18528181818181819</c:v>
                      </c:pt>
                      <c:pt idx="3">
                        <c:v>0.36073636363636363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014-4199-BEA8-E4232F43062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average!$A$5</c15:sqref>
                        </c15:formulaRef>
                      </c:ext>
                    </c:extLst>
                    <c:strCache>
                      <c:ptCount val="1"/>
                      <c:pt idx="0">
                        <c:v>Lazada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(average!$B$2:$B$3,average!$E$2:$E$3,average!$H$2:$H$3,average!$K$2:$K$3)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average!$B$5:$M$5</c15:sqref>
                        </c15:fullRef>
                        <c15:formulaRef>
                          <c15:sqref>(average!$B$5,average!$E$5,average!$H$5,average!$K$5)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0.43952727272727271</c:v>
                      </c:pt>
                      <c:pt idx="1">
                        <c:v>0.37653636363636361</c:v>
                      </c:pt>
                      <c:pt idx="2">
                        <c:v>0.4207636363636364</c:v>
                      </c:pt>
                      <c:pt idx="3">
                        <c:v>0.43952727272727271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014-4199-BEA8-E4232F43062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average!$A$6</c15:sqref>
                        </c15:formulaRef>
                      </c:ext>
                    </c:extLst>
                    <c:strCache>
                      <c:ptCount val="1"/>
                      <c:pt idx="0">
                        <c:v>Shopee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(average!$B$2:$B$3,average!$E$2:$E$3,average!$H$2:$H$3,average!$K$2:$K$3)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average!$B$6:$M$6</c15:sqref>
                        </c15:fullRef>
                        <c15:formulaRef>
                          <c15:sqref>(average!$B$6,average!$E$6,average!$H$6,average!$K$6)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0.43517272727272721</c:v>
                      </c:pt>
                      <c:pt idx="1">
                        <c:v>9.0909090909090912E-2</c:v>
                      </c:pt>
                      <c:pt idx="2">
                        <c:v>0.40950000000000003</c:v>
                      </c:pt>
                      <c:pt idx="3">
                        <c:v>0.44516363636363643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014-4199-BEA8-E4232F43062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average!$A$7</c15:sqref>
                        </c15:formulaRef>
                      </c:ext>
                    </c:extLst>
                    <c:strCache>
                      <c:ptCount val="1"/>
                      <c:pt idx="0">
                        <c:v>Zalora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(average!$B$2:$B$3,average!$E$2:$E$3,average!$H$2:$H$3,average!$K$2:$K$3)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average!$B$7:$M$7</c15:sqref>
                        </c15:fullRef>
                        <c15:formulaRef>
                          <c15:sqref>(average!$B$7,average!$E$7,average!$H$7,average!$K$7)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0.33325454545454547</c:v>
                      </c:pt>
                      <c:pt idx="1">
                        <c:v>0.11400909090909091</c:v>
                      </c:pt>
                      <c:pt idx="2">
                        <c:v>0.40201818181818183</c:v>
                      </c:pt>
                      <c:pt idx="3">
                        <c:v>0.43237272727272719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014-4199-BEA8-E4232F430626}"/>
                  </c:ext>
                </c:extLst>
              </c15:ser>
            </c15:filteredBarSeries>
          </c:ext>
        </c:extLst>
      </c:barChart>
      <c:catAx>
        <c:axId val="103515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151055"/>
        <c:crosses val="autoZero"/>
        <c:auto val="1"/>
        <c:lblAlgn val="ctr"/>
        <c:lblOffset val="100"/>
        <c:noMultiLvlLbl val="0"/>
      </c:catAx>
      <c:valAx>
        <c:axId val="103515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15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average!$A$23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average!$B$19:$M$20</c15:sqref>
                  </c15:fullRef>
                </c:ext>
              </c:extLst>
              <c:f>(average!$B$19:$B$20,average!$E$19:$E$20,average!$H$19:$H$20,average!$K$19:$K$20)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average!$B$23:$M$23</c15:sqref>
                  </c15:fullRef>
                </c:ext>
              </c:extLst>
              <c:f>(average!$B$23,average!$E$23,average!$H$23,average!$K$23)</c:f>
              <c:numCache>
                <c:formatCode>0.00%</c:formatCode>
                <c:ptCount val="4"/>
                <c:pt idx="0">
                  <c:v>0.31634090909090906</c:v>
                </c:pt>
                <c:pt idx="1">
                  <c:v>0.27394999999999997</c:v>
                </c:pt>
                <c:pt idx="2">
                  <c:v>0.30302272727272728</c:v>
                </c:pt>
                <c:pt idx="3">
                  <c:v>0.4001318181818182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8-4C79-89E4-EDCA999625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04732639"/>
        <c:axId val="11047407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average!$A$21</c15:sqref>
                        </c15:formulaRef>
                      </c:ext>
                    </c:extLst>
                    <c:strCache>
                      <c:ptCount val="1"/>
                      <c:pt idx="0">
                        <c:v>Blibli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average!$B$19:$M$20</c15:sqref>
                        </c15:fullRef>
                        <c15:formulaRef>
                          <c15:sqref>(average!$B$19:$B$20,average!$E$19:$E$20,average!$H$19:$H$20,average!$K$19:$K$20)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average!$B$21:$M$21</c15:sqref>
                        </c15:fullRef>
                        <c15:formulaRef>
                          <c15:sqref>(average!$B$21,average!$E$21,average!$H$21,average!$K$21)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0.19315454545454544</c:v>
                      </c:pt>
                      <c:pt idx="1">
                        <c:v>0.17136363636363636</c:v>
                      </c:pt>
                      <c:pt idx="2">
                        <c:v>0.18528181818181819</c:v>
                      </c:pt>
                      <c:pt idx="3">
                        <c:v>0.36073636363636363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E98-4C79-89E4-EDCA999625F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average!$A$22</c15:sqref>
                        </c15:formulaRef>
                      </c:ext>
                    </c:extLst>
                    <c:strCache>
                      <c:ptCount val="1"/>
                      <c:pt idx="0">
                        <c:v>Lazada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average!$B$19:$M$20</c15:sqref>
                        </c15:fullRef>
                        <c15:formulaRef>
                          <c15:sqref>(average!$B$19:$B$20,average!$E$19:$E$20,average!$H$19:$H$20,average!$K$19:$K$20)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average!$B$22:$M$22</c15:sqref>
                        </c15:fullRef>
                        <c15:formulaRef>
                          <c15:sqref>(average!$B$22,average!$E$22,average!$H$22,average!$K$22)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0.43952727272727271</c:v>
                      </c:pt>
                      <c:pt idx="1">
                        <c:v>0.37653636363636361</c:v>
                      </c:pt>
                      <c:pt idx="2">
                        <c:v>0.4207636363636364</c:v>
                      </c:pt>
                      <c:pt idx="3">
                        <c:v>0.43952727272727271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E98-4C79-89E4-EDCA999625F3}"/>
                  </c:ext>
                </c:extLst>
              </c15:ser>
            </c15:filteredBarSeries>
          </c:ext>
        </c:extLst>
      </c:barChart>
      <c:catAx>
        <c:axId val="110473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40799"/>
        <c:crosses val="autoZero"/>
        <c:auto val="1"/>
        <c:lblAlgn val="ctr"/>
        <c:lblOffset val="100"/>
        <c:noMultiLvlLbl val="0"/>
      </c:catAx>
      <c:valAx>
        <c:axId val="11047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3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average!$A$8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average!$B$8:$M$8</c15:sqref>
                  </c15:fullRef>
                </c:ext>
              </c:extLst>
              <c:f>(average!$C$8,average!$F$8,average!$I$8,average!$L$8)</c:f>
              <c:numCache>
                <c:formatCode>0.00%</c:formatCode>
                <c:ptCount val="4"/>
                <c:pt idx="0">
                  <c:v>0.36062954545454545</c:v>
                </c:pt>
                <c:pt idx="1">
                  <c:v>0.23712954545454545</c:v>
                </c:pt>
                <c:pt idx="2">
                  <c:v>0.50414772727272728</c:v>
                </c:pt>
                <c:pt idx="3">
                  <c:v>0.43606590909090903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1-413D-AD8F-EEEA473721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35151535"/>
        <c:axId val="10351510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average!$A$4</c15:sqref>
                        </c15:formulaRef>
                      </c:ext>
                    </c:extLst>
                    <c:strCache>
                      <c:ptCount val="1"/>
                      <c:pt idx="0">
                        <c:v>Blibli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average!$B$2:$M$3</c15:sqref>
                        </c15:fullRef>
                        <c15:formulaRef>
                          <c15:sqref>(average!$C$2:$C$3,average!$F$2:$F$3,average!$I$2:$I$3,average!$L$2:$L$3)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average!$B$4:$M$4</c15:sqref>
                        </c15:fullRef>
                        <c15:formulaRef>
                          <c15:sqref>(average!$C$4,average!$F$4,average!$I$4,average!$L$4)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0.38558181818181814</c:v>
                      </c:pt>
                      <c:pt idx="1">
                        <c:v>0.45629090909090908</c:v>
                      </c:pt>
                      <c:pt idx="2">
                        <c:v>0.37126363636363635</c:v>
                      </c:pt>
                      <c:pt idx="3">
                        <c:v>0.49080909090909086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081-413D-AD8F-EEEA4737212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average!$A$5</c15:sqref>
                        </c15:formulaRef>
                      </c:ext>
                    </c:extLst>
                    <c:strCache>
                      <c:ptCount val="1"/>
                      <c:pt idx="0">
                        <c:v>Lazada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(average!$C$2:$C$3,average!$F$2:$F$3,average!$I$2:$I$3,average!$L$2:$L$3)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average!$B$5:$M$5</c15:sqref>
                        </c15:fullRef>
                        <c15:formulaRef>
                          <c15:sqref>(average!$C$5,average!$F$5,average!$I$5,average!$L$5)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0.4562272727272727</c:v>
                      </c:pt>
                      <c:pt idx="1">
                        <c:v>0.29870000000000002</c:v>
                      </c:pt>
                      <c:pt idx="2">
                        <c:v>0.52950000000000008</c:v>
                      </c:pt>
                      <c:pt idx="3">
                        <c:v>0.4562272727272727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81-413D-AD8F-EEEA4737212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average!$A$6</c15:sqref>
                        </c15:formulaRef>
                      </c:ext>
                    </c:extLst>
                    <c:strCache>
                      <c:ptCount val="1"/>
                      <c:pt idx="0">
                        <c:v>Shopee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(average!$C$2:$C$3,average!$F$2:$F$3,average!$I$2:$I$3,average!$L$2:$L$3)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average!$B$6:$M$6</c15:sqref>
                        </c15:fullRef>
                        <c15:formulaRef>
                          <c15:sqref>(average!$C$6,average!$F$6,average!$I$6,average!$L$6)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0.432</c:v>
                      </c:pt>
                      <c:pt idx="1">
                        <c:v>9.0909090909090912E-2</c:v>
                      </c:pt>
                      <c:pt idx="2">
                        <c:v>0.60485454545454542</c:v>
                      </c:pt>
                      <c:pt idx="3">
                        <c:v>0.46760000000000002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081-413D-AD8F-EEEA4737212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average!$A$7</c15:sqref>
                        </c15:formulaRef>
                      </c:ext>
                    </c:extLst>
                    <c:strCache>
                      <c:ptCount val="1"/>
                      <c:pt idx="0">
                        <c:v>Zalora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(average!$C$2:$C$3,average!$F$2:$F$3,average!$I$2:$I$3,average!$L$2:$L$3)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average!$B$7:$M$7</c15:sqref>
                        </c15:fullRef>
                        <c15:formulaRef>
                          <c15:sqref>(average!$C$7,average!$F$7,average!$I$7,average!$L$7)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0.16870909090909092</c:v>
                      </c:pt>
                      <c:pt idx="1">
                        <c:v>0.10261818181818182</c:v>
                      </c:pt>
                      <c:pt idx="2">
                        <c:v>0.51097272727272736</c:v>
                      </c:pt>
                      <c:pt idx="3">
                        <c:v>0.32962727272727271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081-413D-AD8F-EEEA47372129}"/>
                  </c:ext>
                </c:extLst>
              </c15:ser>
            </c15:filteredBarSeries>
          </c:ext>
        </c:extLst>
      </c:barChart>
      <c:catAx>
        <c:axId val="103515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151055"/>
        <c:crosses val="autoZero"/>
        <c:auto val="1"/>
        <c:lblAlgn val="ctr"/>
        <c:lblOffset val="100"/>
        <c:noMultiLvlLbl val="0"/>
      </c:catAx>
      <c:valAx>
        <c:axId val="103515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15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average!$A$23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average!$B$19:$M$20</c15:sqref>
                  </c15:fullRef>
                </c:ext>
              </c:extLst>
              <c:f>(average!$C$19:$C$20,average!$F$19:$F$20,average!$I$19:$I$20,average!$L$19:$L$20)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average!$B$23:$M$23</c15:sqref>
                  </c15:fullRef>
                </c:ext>
              </c:extLst>
              <c:f>(average!$C$23,average!$F$23,average!$I$23,average!$L$23)</c:f>
              <c:numCache>
                <c:formatCode>0.00%</c:formatCode>
                <c:ptCount val="4"/>
                <c:pt idx="0">
                  <c:v>0.42090454545454542</c:v>
                </c:pt>
                <c:pt idx="1">
                  <c:v>0.37749545454545452</c:v>
                </c:pt>
                <c:pt idx="2">
                  <c:v>0.45038181818181822</c:v>
                </c:pt>
                <c:pt idx="3">
                  <c:v>0.47351818181818178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E-42DC-969E-78878D813F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04732639"/>
        <c:axId val="11047407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average!$A$21</c15:sqref>
                        </c15:formulaRef>
                      </c:ext>
                    </c:extLst>
                    <c:strCache>
                      <c:ptCount val="1"/>
                      <c:pt idx="0">
                        <c:v>Blibli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average!$B$19:$M$20</c15:sqref>
                        </c15:fullRef>
                        <c15:formulaRef>
                          <c15:sqref>(average!$C$19:$C$20,average!$F$19:$F$20,average!$I$19:$I$20,average!$L$19:$L$20)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average!$B$21:$M$21</c15:sqref>
                        </c15:fullRef>
                        <c15:formulaRef>
                          <c15:sqref>(average!$C$21,average!$F$21,average!$I$21,average!$L$21)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0.38558181818181814</c:v>
                      </c:pt>
                      <c:pt idx="1">
                        <c:v>0.45629090909090908</c:v>
                      </c:pt>
                      <c:pt idx="2">
                        <c:v>0.37126363636363635</c:v>
                      </c:pt>
                      <c:pt idx="3">
                        <c:v>0.49080909090909086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7EE-42DC-969E-78878D813FC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average!$A$22</c15:sqref>
                        </c15:formulaRef>
                      </c:ext>
                    </c:extLst>
                    <c:strCache>
                      <c:ptCount val="1"/>
                      <c:pt idx="0">
                        <c:v>Lazada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average!$B$19:$M$20</c15:sqref>
                        </c15:fullRef>
                        <c15:formulaRef>
                          <c15:sqref>(average!$C$19:$C$20,average!$F$19:$F$20,average!$I$19:$I$20,average!$L$19:$L$20)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average!$B$22:$M$22</c15:sqref>
                        </c15:fullRef>
                        <c15:formulaRef>
                          <c15:sqref>(average!$C$22,average!$F$22,average!$I$22,average!$L$22)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0.4562272727272727</c:v>
                      </c:pt>
                      <c:pt idx="1">
                        <c:v>0.29870000000000002</c:v>
                      </c:pt>
                      <c:pt idx="2">
                        <c:v>0.52950000000000008</c:v>
                      </c:pt>
                      <c:pt idx="3">
                        <c:v>0.4562272727272727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7EE-42DC-969E-78878D813FC0}"/>
                  </c:ext>
                </c:extLst>
              </c15:ser>
            </c15:filteredBarSeries>
          </c:ext>
        </c:extLst>
      </c:barChart>
      <c:catAx>
        <c:axId val="110473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40799"/>
        <c:crosses val="autoZero"/>
        <c:auto val="1"/>
        <c:lblAlgn val="ctr"/>
        <c:lblOffset val="100"/>
        <c:noMultiLvlLbl val="0"/>
      </c:catAx>
      <c:valAx>
        <c:axId val="11047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3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average!$A$8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average!$B$8:$M$8</c15:sqref>
                  </c15:fullRef>
                </c:ext>
              </c:extLst>
              <c:f>(average!$D$8,average!$G$8,average!$J$8,average!$M$8)</c:f>
              <c:numCache>
                <c:formatCode>0.00%</c:formatCode>
                <c:ptCount val="4"/>
                <c:pt idx="0">
                  <c:v>0.26276818181818179</c:v>
                </c:pt>
                <c:pt idx="1">
                  <c:v>0.16785227272727271</c:v>
                </c:pt>
                <c:pt idx="2">
                  <c:v>0.32847045454545454</c:v>
                </c:pt>
                <c:pt idx="3">
                  <c:v>0.34495909090909088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1-48ED-9A56-BF784412FE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35151535"/>
        <c:axId val="10351510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average!$A$4</c15:sqref>
                        </c15:formulaRef>
                      </c:ext>
                    </c:extLst>
                    <c:strCache>
                      <c:ptCount val="1"/>
                      <c:pt idx="0">
                        <c:v>Blibli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average!$B$2:$M$3</c15:sqref>
                        </c15:fullRef>
                        <c15:formulaRef>
                          <c15:sqref>(average!$D$2:$D$3,average!$G$2:$G$3,average!$J$2:$J$3,average!$M$2:$M$3)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average!$B$4:$M$4</c15:sqref>
                        </c15:fullRef>
                        <c15:formulaRef>
                          <c15:sqref>(average!$D$4,average!$G$4,average!$J$4,average!$M$4)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0.17929090909090908</c:v>
                      </c:pt>
                      <c:pt idx="1">
                        <c:v>0.19950909090909089</c:v>
                      </c:pt>
                      <c:pt idx="2">
                        <c:v>0.15907272727272728</c:v>
                      </c:pt>
                      <c:pt idx="3">
                        <c:v>0.32277272727272727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CC1-48ED-9A56-BF784412FE7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average!$A$5</c15:sqref>
                        </c15:formulaRef>
                      </c:ext>
                    </c:extLst>
                    <c:strCache>
                      <c:ptCount val="1"/>
                      <c:pt idx="0">
                        <c:v>Lazada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(average!$D$2:$D$3,average!$G$2:$G$3,average!$J$2:$J$3,average!$M$2:$M$3)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average!$B$5:$M$5</c15:sqref>
                        </c15:fullRef>
                        <c15:formulaRef>
                          <c15:sqref>(average!$D$5,average!$G$5,average!$J$5,average!$M$5)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0.34971818181818182</c:v>
                      </c:pt>
                      <c:pt idx="1">
                        <c:v>0.28741818181818179</c:v>
                      </c:pt>
                      <c:pt idx="2">
                        <c:v>0.36990000000000001</c:v>
                      </c:pt>
                      <c:pt idx="3">
                        <c:v>0.34971818181818182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CC1-48ED-9A56-BF784412FE7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average!$A$6</c15:sqref>
                        </c15:formulaRef>
                      </c:ext>
                    </c:extLst>
                    <c:strCache>
                      <c:ptCount val="1"/>
                      <c:pt idx="0">
                        <c:v>Shopee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(average!$D$2:$D$3,average!$G$2:$G$3,average!$J$2:$J$3,average!$M$2:$M$3)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average!$B$6:$M$6</c15:sqref>
                        </c15:fullRef>
                        <c15:formulaRef>
                          <c15:sqref>(average!$D$6,average!$G$6,average!$J$6,average!$M$6)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0.32704545454545458</c:v>
                      </c:pt>
                      <c:pt idx="1">
                        <c:v>9.0909090909090912E-2</c:v>
                      </c:pt>
                      <c:pt idx="2">
                        <c:v>0.38319090909090908</c:v>
                      </c:pt>
                      <c:pt idx="3">
                        <c:v>0.35681818181818176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CC1-48ED-9A56-BF784412FE7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average!$A$7</c15:sqref>
                        </c15:formulaRef>
                      </c:ext>
                    </c:extLst>
                    <c:strCache>
                      <c:ptCount val="1"/>
                      <c:pt idx="0">
                        <c:v>Zalora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(average!$D$2:$D$3,average!$G$2:$G$3,average!$J$2:$J$3,average!$M$2:$M$3)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average!$B$7:$M$7</c15:sqref>
                        </c15:fullRef>
                        <c15:formulaRef>
                          <c15:sqref>(average!$D$7,average!$G$7,average!$J$7,average!$M$7)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0.19501818181818181</c:v>
                      </c:pt>
                      <c:pt idx="1">
                        <c:v>9.357272727272728E-2</c:v>
                      </c:pt>
                      <c:pt idx="2">
                        <c:v>0.40171818181818186</c:v>
                      </c:pt>
                      <c:pt idx="3">
                        <c:v>0.35052727272727274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CC1-48ED-9A56-BF784412FE75}"/>
                  </c:ext>
                </c:extLst>
              </c15:ser>
            </c15:filteredBarSeries>
          </c:ext>
        </c:extLst>
      </c:barChart>
      <c:catAx>
        <c:axId val="103515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151055"/>
        <c:crosses val="autoZero"/>
        <c:auto val="1"/>
        <c:lblAlgn val="ctr"/>
        <c:lblOffset val="100"/>
        <c:noMultiLvlLbl val="0"/>
      </c:catAx>
      <c:valAx>
        <c:axId val="103515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15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average!$A$23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average!$B$19:$M$20</c15:sqref>
                  </c15:fullRef>
                </c:ext>
              </c:extLst>
              <c:f>(average!$D$19:$D$20,average!$G$19:$G$20,average!$J$19:$J$20,average!$M$19:$M$20)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average!$B$23:$M$23</c15:sqref>
                  </c15:fullRef>
                </c:ext>
              </c:extLst>
              <c:f>(average!$D$23,average!$G$23,average!$J$23,average!$M$23)</c:f>
              <c:numCache>
                <c:formatCode>0.00%</c:formatCode>
                <c:ptCount val="4"/>
                <c:pt idx="0">
                  <c:v>0.26450454545454544</c:v>
                </c:pt>
                <c:pt idx="1">
                  <c:v>0.24346363636363633</c:v>
                </c:pt>
                <c:pt idx="2">
                  <c:v>0.26448636363636363</c:v>
                </c:pt>
                <c:pt idx="3">
                  <c:v>0.33624545454545451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C-4C73-B00F-AF5AA8BEEC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04732639"/>
        <c:axId val="11047407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average!$A$21</c15:sqref>
                        </c15:formulaRef>
                      </c:ext>
                    </c:extLst>
                    <c:strCache>
                      <c:ptCount val="1"/>
                      <c:pt idx="0">
                        <c:v>Blibli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average!$B$19:$M$20</c15:sqref>
                        </c15:fullRef>
                        <c15:formulaRef>
                          <c15:sqref>(average!$D$19:$D$20,average!$G$19:$G$20,average!$J$19:$J$20,average!$M$19:$M$20)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average!$B$21:$M$21</c15:sqref>
                        </c15:fullRef>
                        <c15:formulaRef>
                          <c15:sqref>(average!$D$21,average!$G$21,average!$J$21,average!$M$21)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0.17929090909090908</c:v>
                      </c:pt>
                      <c:pt idx="1">
                        <c:v>0.19950909090909089</c:v>
                      </c:pt>
                      <c:pt idx="2">
                        <c:v>0.15907272727272728</c:v>
                      </c:pt>
                      <c:pt idx="3">
                        <c:v>0.32277272727272727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E5C-4C73-B00F-AF5AA8BEEC7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average!$A$22</c15:sqref>
                        </c15:formulaRef>
                      </c:ext>
                    </c:extLst>
                    <c:strCache>
                      <c:ptCount val="1"/>
                      <c:pt idx="0">
                        <c:v>Lazada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average!$B$19:$M$20</c15:sqref>
                        </c15:fullRef>
                        <c15:formulaRef>
                          <c15:sqref>(average!$D$19:$D$20,average!$G$19:$G$20,average!$J$19:$J$20,average!$M$19:$M$20)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average!$B$22:$M$22</c15:sqref>
                        </c15:fullRef>
                        <c15:formulaRef>
                          <c15:sqref>(average!$D$22,average!$G$22,average!$J$22,average!$M$22)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0.34971818181818182</c:v>
                      </c:pt>
                      <c:pt idx="1">
                        <c:v>0.28741818181818179</c:v>
                      </c:pt>
                      <c:pt idx="2">
                        <c:v>0.36990000000000001</c:v>
                      </c:pt>
                      <c:pt idx="3">
                        <c:v>0.34971818181818182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E5C-4C73-B00F-AF5AA8BEEC70}"/>
                  </c:ext>
                </c:extLst>
              </c15:ser>
            </c15:filteredBarSeries>
          </c:ext>
        </c:extLst>
      </c:barChart>
      <c:catAx>
        <c:axId val="110473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40799"/>
        <c:crosses val="autoZero"/>
        <c:auto val="1"/>
        <c:lblAlgn val="ctr"/>
        <c:lblOffset val="100"/>
        <c:noMultiLvlLbl val="0"/>
      </c:catAx>
      <c:valAx>
        <c:axId val="11047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3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281940</xdr:colOff>
      <xdr:row>0</xdr:row>
      <xdr:rowOff>72390</xdr:rowOff>
    </xdr:from>
    <xdr:to>
      <xdr:col>21</xdr:col>
      <xdr:colOff>586740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652154-D8AA-F04F-A18E-597D7387B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449580</xdr:colOff>
      <xdr:row>16</xdr:row>
      <xdr:rowOff>60960</xdr:rowOff>
    </xdr:from>
    <xdr:to>
      <xdr:col>24</xdr:col>
      <xdr:colOff>144780</xdr:colOff>
      <xdr:row>31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107381-B296-4449-BA68-00C904CE7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449580</xdr:colOff>
      <xdr:row>33</xdr:row>
      <xdr:rowOff>68580</xdr:rowOff>
    </xdr:from>
    <xdr:to>
      <xdr:col>24</xdr:col>
      <xdr:colOff>144780</xdr:colOff>
      <xdr:row>48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4ED2FD-B6BF-43DE-9F5B-3BE151992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114300</xdr:rowOff>
    </xdr:from>
    <xdr:to>
      <xdr:col>7</xdr:col>
      <xdr:colOff>304800</xdr:colOff>
      <xdr:row>40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7B8210-A2CE-5B3B-4BBA-30F0273D0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502920</xdr:colOff>
      <xdr:row>25</xdr:row>
      <xdr:rowOff>106680</xdr:rowOff>
    </xdr:from>
    <xdr:to>
      <xdr:col>15</xdr:col>
      <xdr:colOff>198120</xdr:colOff>
      <xdr:row>40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FA4A3D-7173-97D8-85A9-1D6C6E49B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44</xdr:row>
      <xdr:rowOff>7620</xdr:rowOff>
    </xdr:from>
    <xdr:to>
      <xdr:col>7</xdr:col>
      <xdr:colOff>304800</xdr:colOff>
      <xdr:row>59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E1BDB6-4437-4F57-A700-70C3E8631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502920</xdr:colOff>
      <xdr:row>44</xdr:row>
      <xdr:rowOff>0</xdr:rowOff>
    </xdr:from>
    <xdr:to>
      <xdr:col>15</xdr:col>
      <xdr:colOff>198120</xdr:colOff>
      <xdr:row>59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0A33CA9-D2EC-479F-91AC-22C83365C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63</xdr:row>
      <xdr:rowOff>7620</xdr:rowOff>
    </xdr:from>
    <xdr:to>
      <xdr:col>7</xdr:col>
      <xdr:colOff>304800</xdr:colOff>
      <xdr:row>78</xdr:row>
      <xdr:rowOff>7620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D0022EC-7D1F-4E27-8819-FDC4605BD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502920</xdr:colOff>
      <xdr:row>63</xdr:row>
      <xdr:rowOff>0</xdr:rowOff>
    </xdr:from>
    <xdr:to>
      <xdr:col>15</xdr:col>
      <xdr:colOff>198120</xdr:colOff>
      <xdr:row>78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495341E-9C95-4CD0-AD36-72C7C18E8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4080-9216-41F8-8747-5B134773AF1D}">
  <dimension ref="A1:N14"/>
  <sheetViews>
    <sheetView workbookViewId="0">
      <selection activeCell="C14" sqref="C14:N14"/>
    </sheetView>
  </sheetViews>
  <sheetFormatPr defaultRowHeight="14.4" x14ac:dyDescent="0.3"/>
  <cols>
    <col min="1" max="1" width="3.33203125" bestFit="1" customWidth="1"/>
    <col min="2" max="2" width="48.21875" bestFit="1" customWidth="1"/>
  </cols>
  <sheetData>
    <row r="1" spans="1:14" x14ac:dyDescent="0.3">
      <c r="C1" s="5" t="s">
        <v>14</v>
      </c>
      <c r="D1" s="5"/>
      <c r="E1" s="5"/>
      <c r="F1" s="5" t="s">
        <v>15</v>
      </c>
      <c r="G1" s="5"/>
      <c r="H1" s="5"/>
      <c r="I1" s="5" t="s">
        <v>16</v>
      </c>
      <c r="J1" s="5"/>
      <c r="K1" s="5"/>
      <c r="L1" s="5" t="s">
        <v>17</v>
      </c>
      <c r="M1" s="5"/>
      <c r="N1" s="5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0.2273</v>
      </c>
      <c r="D3" s="1">
        <v>1</v>
      </c>
      <c r="E3" s="1">
        <v>0.37040000000000001</v>
      </c>
      <c r="F3" s="1">
        <v>0.2273</v>
      </c>
      <c r="G3" s="1">
        <v>1</v>
      </c>
      <c r="H3" s="1">
        <v>0.37040000000000001</v>
      </c>
      <c r="I3" s="1">
        <v>0.2273</v>
      </c>
      <c r="J3" s="1">
        <v>1</v>
      </c>
      <c r="K3" s="1">
        <v>0.37040000000000001</v>
      </c>
      <c r="L3" s="1">
        <v>0.3125</v>
      </c>
      <c r="M3" s="1">
        <v>1</v>
      </c>
      <c r="N3" s="1">
        <v>0.47620000000000001</v>
      </c>
    </row>
    <row r="4" spans="1:14" x14ac:dyDescent="0.3">
      <c r="A4">
        <v>2</v>
      </c>
      <c r="B4" t="s">
        <v>3</v>
      </c>
      <c r="C4" s="1">
        <v>0.30099999999999999</v>
      </c>
      <c r="D4" s="1">
        <v>0.64580000000000004</v>
      </c>
      <c r="E4" s="1">
        <v>0.41060000000000002</v>
      </c>
      <c r="F4" s="1">
        <v>9.2999999999999999E-2</v>
      </c>
      <c r="G4" s="1">
        <v>8.3299999999999999E-2</v>
      </c>
      <c r="H4" s="1">
        <v>8.7900000000000006E-2</v>
      </c>
      <c r="I4" s="1">
        <v>0.2432</v>
      </c>
      <c r="J4" s="1">
        <v>0.375</v>
      </c>
      <c r="K4" s="1">
        <v>0.29509999999999997</v>
      </c>
      <c r="L4" s="1">
        <v>1</v>
      </c>
      <c r="M4" s="1">
        <v>0.97919999999999996</v>
      </c>
      <c r="N4" s="1">
        <v>0.98950000000000005</v>
      </c>
    </row>
    <row r="5" spans="1:14" x14ac:dyDescent="0.3">
      <c r="A5">
        <v>3</v>
      </c>
      <c r="B5" t="s">
        <v>4</v>
      </c>
      <c r="C5" s="1">
        <v>6.6699999999999995E-2</v>
      </c>
      <c r="D5" s="1">
        <v>1</v>
      </c>
      <c r="E5" s="1">
        <v>0.125</v>
      </c>
      <c r="F5" s="1">
        <v>1.89E-2</v>
      </c>
      <c r="G5" s="1">
        <v>1</v>
      </c>
      <c r="H5" s="1">
        <v>3.6999999999999998E-2</v>
      </c>
      <c r="I5" s="1">
        <v>6.25E-2</v>
      </c>
      <c r="J5" s="1">
        <v>1</v>
      </c>
      <c r="K5" s="1">
        <v>0.1176</v>
      </c>
      <c r="L5" s="1">
        <v>2.0799999999999999E-2</v>
      </c>
      <c r="M5" s="1">
        <v>1</v>
      </c>
      <c r="N5" s="1">
        <v>4.0800000000000003E-2</v>
      </c>
    </row>
    <row r="6" spans="1:14" x14ac:dyDescent="0.3">
      <c r="A6">
        <v>4</v>
      </c>
      <c r="B6" t="s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">
      <c r="A7">
        <v>5</v>
      </c>
      <c r="B7" t="s">
        <v>6</v>
      </c>
      <c r="C7" s="1">
        <v>0.27779999999999999</v>
      </c>
      <c r="D7" s="1">
        <v>0.28570000000000001</v>
      </c>
      <c r="E7" s="1">
        <v>0.28170000000000001</v>
      </c>
      <c r="F7" s="1">
        <v>0.1744</v>
      </c>
      <c r="G7" s="1">
        <v>0.42859999999999998</v>
      </c>
      <c r="H7" s="1">
        <v>0.24790000000000001</v>
      </c>
      <c r="I7" s="1">
        <v>0.1515</v>
      </c>
      <c r="J7" s="1">
        <v>0.28570000000000001</v>
      </c>
      <c r="K7" s="1">
        <v>0.19800000000000001</v>
      </c>
      <c r="L7" s="1">
        <v>0.27029999999999998</v>
      </c>
      <c r="M7" s="1">
        <v>0.28570000000000001</v>
      </c>
      <c r="N7" s="1">
        <v>0.27779999999999999</v>
      </c>
    </row>
    <row r="8" spans="1:14" x14ac:dyDescent="0.3">
      <c r="A8">
        <v>6</v>
      </c>
      <c r="B8" t="s">
        <v>7</v>
      </c>
      <c r="C8" s="1">
        <v>0.75860000000000005</v>
      </c>
      <c r="D8" s="1">
        <v>0.1583</v>
      </c>
      <c r="E8" s="1">
        <v>0.26190000000000002</v>
      </c>
      <c r="F8" s="1">
        <v>1</v>
      </c>
      <c r="G8" s="1">
        <v>0.8165</v>
      </c>
      <c r="H8" s="1">
        <v>0.89900000000000002</v>
      </c>
      <c r="I8" s="1">
        <v>0.85709999999999997</v>
      </c>
      <c r="J8" s="1">
        <v>0.1295</v>
      </c>
      <c r="K8" s="1">
        <v>0.22500000000000001</v>
      </c>
      <c r="L8" s="1">
        <v>0.95240000000000002</v>
      </c>
      <c r="M8" s="1">
        <v>0.1439</v>
      </c>
      <c r="N8" s="1">
        <v>0.25</v>
      </c>
    </row>
    <row r="9" spans="1:14" x14ac:dyDescent="0.3">
      <c r="A9">
        <v>7</v>
      </c>
      <c r="B9" t="s">
        <v>8</v>
      </c>
      <c r="C9" s="1">
        <v>0.21049999999999999</v>
      </c>
      <c r="D9" s="1">
        <v>6.59E-2</v>
      </c>
      <c r="E9" s="1">
        <v>0.1004</v>
      </c>
      <c r="F9" s="1">
        <v>0.1358</v>
      </c>
      <c r="G9" s="1">
        <v>0.18129999999999999</v>
      </c>
      <c r="H9" s="1">
        <v>0.15529999999999999</v>
      </c>
      <c r="I9" s="1">
        <v>0.22</v>
      </c>
      <c r="J9" s="1">
        <v>6.0400000000000002E-2</v>
      </c>
      <c r="K9" s="1">
        <v>9.4799999999999995E-2</v>
      </c>
      <c r="L9" s="1">
        <v>0.15570000000000001</v>
      </c>
      <c r="M9" s="1">
        <v>0.10440000000000001</v>
      </c>
      <c r="N9" s="1">
        <v>0.125</v>
      </c>
    </row>
    <row r="10" spans="1:14" x14ac:dyDescent="0.3">
      <c r="A10">
        <v>8</v>
      </c>
      <c r="B10" t="s">
        <v>9</v>
      </c>
      <c r="C10" s="1">
        <v>0.15379999999999999</v>
      </c>
      <c r="D10" s="1">
        <v>0.28570000000000001</v>
      </c>
      <c r="E10" s="1">
        <v>0.2</v>
      </c>
      <c r="F10" s="1">
        <v>0.18090000000000001</v>
      </c>
      <c r="G10" s="1">
        <v>0.8095</v>
      </c>
      <c r="H10" s="1">
        <v>0.29570000000000002</v>
      </c>
      <c r="I10" s="1">
        <v>0.1</v>
      </c>
      <c r="J10" s="1">
        <v>0.33329999999999999</v>
      </c>
      <c r="K10" s="1">
        <v>0.15379999999999999</v>
      </c>
      <c r="L10" s="1">
        <v>0.12</v>
      </c>
      <c r="M10" s="1">
        <v>0.28570000000000001</v>
      </c>
      <c r="N10" s="1">
        <v>0.16900000000000001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1</v>
      </c>
      <c r="N12" s="1">
        <v>1</v>
      </c>
    </row>
    <row r="13" spans="1:14" x14ac:dyDescent="0.3">
      <c r="A13">
        <v>11</v>
      </c>
      <c r="B13" t="s">
        <v>12</v>
      </c>
      <c r="C13" s="1">
        <v>0.129</v>
      </c>
      <c r="D13" s="1">
        <v>0.8</v>
      </c>
      <c r="E13" s="1">
        <v>0.22220000000000001</v>
      </c>
      <c r="F13" s="1">
        <v>5.4699999999999999E-2</v>
      </c>
      <c r="G13" s="1">
        <v>0.7</v>
      </c>
      <c r="H13" s="1">
        <v>0.1014</v>
      </c>
      <c r="I13" s="1">
        <v>0.17649999999999999</v>
      </c>
      <c r="J13" s="1">
        <v>0.9</v>
      </c>
      <c r="K13" s="1">
        <v>0.29509999999999997</v>
      </c>
      <c r="L13" s="1">
        <v>0.13639999999999999</v>
      </c>
      <c r="M13" s="1">
        <v>0.6</v>
      </c>
      <c r="N13" s="1">
        <v>0.22220000000000001</v>
      </c>
    </row>
    <row r="14" spans="1:14" x14ac:dyDescent="0.3">
      <c r="A14" s="5" t="s">
        <v>13</v>
      </c>
      <c r="B14" s="5"/>
      <c r="C14" s="4">
        <f>AVERAGE(C3:C13)</f>
        <v>0.19315454545454544</v>
      </c>
      <c r="D14" s="4">
        <f t="shared" ref="D14:N14" si="0">AVERAGE(D3:D13)</f>
        <v>0.38558181818181814</v>
      </c>
      <c r="E14" s="4">
        <f t="shared" si="0"/>
        <v>0.17929090909090908</v>
      </c>
      <c r="F14" s="4">
        <f t="shared" si="0"/>
        <v>0.17136363636363636</v>
      </c>
      <c r="G14" s="4">
        <f t="shared" si="0"/>
        <v>0.45629090909090908</v>
      </c>
      <c r="H14" s="4">
        <f t="shared" si="0"/>
        <v>0.19950909090909089</v>
      </c>
      <c r="I14" s="4">
        <f t="shared" si="0"/>
        <v>0.18528181818181819</v>
      </c>
      <c r="J14" s="4">
        <f t="shared" si="0"/>
        <v>0.37126363636363635</v>
      </c>
      <c r="K14" s="4">
        <f t="shared" si="0"/>
        <v>0.15907272727272728</v>
      </c>
      <c r="L14" s="4">
        <f t="shared" si="0"/>
        <v>0.36073636363636363</v>
      </c>
      <c r="M14" s="4">
        <f t="shared" si="0"/>
        <v>0.49080909090909086</v>
      </c>
      <c r="N14" s="4">
        <f t="shared" si="0"/>
        <v>0.32277272727272727</v>
      </c>
    </row>
  </sheetData>
  <mergeCells count="5">
    <mergeCell ref="A14:B14"/>
    <mergeCell ref="C1:E1"/>
    <mergeCell ref="F1:H1"/>
    <mergeCell ref="I1:K1"/>
    <mergeCell ref="L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0E04-59DC-4529-BF8E-ECB21C3D0BFF}">
  <dimension ref="A1:N14"/>
  <sheetViews>
    <sheetView workbookViewId="0">
      <selection activeCell="C14" sqref="C14:N14"/>
    </sheetView>
  </sheetViews>
  <sheetFormatPr defaultRowHeight="14.4" x14ac:dyDescent="0.3"/>
  <cols>
    <col min="1" max="1" width="3.33203125" bestFit="1" customWidth="1"/>
    <col min="2" max="2" width="48.21875" bestFit="1" customWidth="1"/>
  </cols>
  <sheetData>
    <row r="1" spans="1:14" x14ac:dyDescent="0.3">
      <c r="C1" s="5" t="s">
        <v>14</v>
      </c>
      <c r="D1" s="5"/>
      <c r="E1" s="5"/>
      <c r="F1" s="5" t="s">
        <v>15</v>
      </c>
      <c r="G1" s="5"/>
      <c r="H1" s="5"/>
      <c r="I1" s="5" t="s">
        <v>16</v>
      </c>
      <c r="J1" s="5"/>
      <c r="K1" s="5"/>
      <c r="L1" s="5" t="s">
        <v>17</v>
      </c>
      <c r="M1" s="5"/>
      <c r="N1" s="5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5.5599999999999997E-2</v>
      </c>
      <c r="D3" s="1">
        <v>1</v>
      </c>
      <c r="E3" s="1">
        <v>0.1053</v>
      </c>
      <c r="F3" s="1">
        <v>0</v>
      </c>
      <c r="G3" s="1">
        <v>0</v>
      </c>
      <c r="H3" s="1">
        <v>0</v>
      </c>
      <c r="I3" s="1">
        <v>0.14810000000000001</v>
      </c>
      <c r="J3" s="1">
        <v>1</v>
      </c>
      <c r="K3" s="1">
        <v>0.2581</v>
      </c>
      <c r="L3" s="1">
        <v>5.5599999999999997E-2</v>
      </c>
      <c r="M3" s="1">
        <v>1</v>
      </c>
      <c r="N3" s="1">
        <v>0.1053</v>
      </c>
    </row>
    <row r="4" spans="1:14" x14ac:dyDescent="0.3">
      <c r="A4">
        <v>2</v>
      </c>
      <c r="B4" t="s">
        <v>3</v>
      </c>
      <c r="C4" s="1">
        <v>0.1268</v>
      </c>
      <c r="D4" s="1">
        <v>0.69230000000000003</v>
      </c>
      <c r="E4" s="1">
        <v>0.21429999999999999</v>
      </c>
      <c r="F4" s="1">
        <v>0.11940000000000001</v>
      </c>
      <c r="G4" s="1">
        <v>0.61539999999999995</v>
      </c>
      <c r="H4" s="1">
        <v>0.2</v>
      </c>
      <c r="I4" s="1">
        <v>0.2041</v>
      </c>
      <c r="J4" s="1">
        <v>0.76919999999999999</v>
      </c>
      <c r="K4" s="1">
        <v>0.3226</v>
      </c>
      <c r="L4" s="1">
        <v>0.1268</v>
      </c>
      <c r="M4" s="1">
        <v>0.69230000000000003</v>
      </c>
      <c r="N4" s="1">
        <v>0.21429999999999999</v>
      </c>
    </row>
    <row r="5" spans="1:14" x14ac:dyDescent="0.3">
      <c r="A5">
        <v>3</v>
      </c>
      <c r="B5" t="s">
        <v>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0.1111</v>
      </c>
      <c r="J5" s="1">
        <v>1</v>
      </c>
      <c r="K5" s="1">
        <v>0.2</v>
      </c>
      <c r="L5" s="1">
        <v>0</v>
      </c>
      <c r="M5" s="1">
        <v>0</v>
      </c>
      <c r="N5" s="1">
        <v>0</v>
      </c>
    </row>
    <row r="6" spans="1:14" x14ac:dyDescent="0.3">
      <c r="A6">
        <v>4</v>
      </c>
      <c r="B6" t="s">
        <v>5</v>
      </c>
      <c r="C6" s="1">
        <v>1</v>
      </c>
      <c r="D6" s="1">
        <v>1</v>
      </c>
      <c r="E6" s="1">
        <v>1</v>
      </c>
      <c r="F6" s="1">
        <v>0.51719999999999999</v>
      </c>
      <c r="G6" s="1">
        <v>0.21129999999999999</v>
      </c>
      <c r="H6" s="1">
        <v>0.3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</row>
    <row r="7" spans="1:14" x14ac:dyDescent="0.3">
      <c r="A7">
        <v>5</v>
      </c>
      <c r="B7" t="s">
        <v>6</v>
      </c>
      <c r="C7" s="1">
        <v>0.38890000000000002</v>
      </c>
      <c r="D7" s="1">
        <v>0.1094</v>
      </c>
      <c r="E7" s="1">
        <v>0.17069999999999999</v>
      </c>
      <c r="F7" s="1">
        <v>0.18</v>
      </c>
      <c r="G7" s="1">
        <v>0.1406</v>
      </c>
      <c r="H7" s="1">
        <v>0.15790000000000001</v>
      </c>
      <c r="I7" s="1">
        <v>0.15</v>
      </c>
      <c r="J7" s="1">
        <v>9.3799999999999994E-2</v>
      </c>
      <c r="K7" s="1">
        <v>0.1154</v>
      </c>
      <c r="L7" s="1">
        <v>0.38890000000000002</v>
      </c>
      <c r="M7" s="1">
        <v>0.1094</v>
      </c>
      <c r="N7" s="1">
        <v>0.17069999999999999</v>
      </c>
    </row>
    <row r="8" spans="1:14" x14ac:dyDescent="0.3">
      <c r="A8">
        <v>6</v>
      </c>
      <c r="B8" t="s">
        <v>7</v>
      </c>
      <c r="C8" s="1">
        <v>0.47499999999999998</v>
      </c>
      <c r="D8" s="1">
        <v>2.6100000000000002E-2</v>
      </c>
      <c r="E8" s="1">
        <v>4.9500000000000002E-2</v>
      </c>
      <c r="F8" s="1">
        <v>0.42049999999999998</v>
      </c>
      <c r="G8" s="1">
        <v>5.0799999999999998E-2</v>
      </c>
      <c r="H8" s="1">
        <v>9.0700000000000003E-2</v>
      </c>
      <c r="I8" s="1">
        <v>0.4667</v>
      </c>
      <c r="J8" s="1">
        <v>2.8799999999999999E-2</v>
      </c>
      <c r="K8" s="1">
        <v>5.4300000000000001E-2</v>
      </c>
      <c r="L8" s="1">
        <v>0.47499999999999998</v>
      </c>
      <c r="M8" s="1">
        <v>2.6100000000000002E-2</v>
      </c>
      <c r="N8" s="1">
        <v>4.9500000000000002E-2</v>
      </c>
    </row>
    <row r="9" spans="1:14" x14ac:dyDescent="0.3">
      <c r="A9">
        <v>7</v>
      </c>
      <c r="B9" t="s">
        <v>8</v>
      </c>
      <c r="C9" s="1">
        <v>0.78849999999999998</v>
      </c>
      <c r="D9" s="1">
        <v>0.19070000000000001</v>
      </c>
      <c r="E9" s="1">
        <v>0.30709999999999998</v>
      </c>
      <c r="F9" s="1">
        <v>0</v>
      </c>
      <c r="G9" s="1">
        <v>0</v>
      </c>
      <c r="H9" s="1">
        <v>0</v>
      </c>
      <c r="I9" s="1">
        <v>0.5484</v>
      </c>
      <c r="J9" s="1">
        <v>0.15809999999999999</v>
      </c>
      <c r="K9" s="1">
        <v>0.2455</v>
      </c>
      <c r="L9" s="1">
        <v>0.78849999999999998</v>
      </c>
      <c r="M9" s="1">
        <v>0.19070000000000001</v>
      </c>
      <c r="N9" s="1">
        <v>0.30709999999999998</v>
      </c>
    </row>
    <row r="10" spans="1:14" x14ac:dyDescent="0.3">
      <c r="A10">
        <v>8</v>
      </c>
      <c r="B10" t="s">
        <v>9</v>
      </c>
      <c r="C10" s="1">
        <v>1</v>
      </c>
      <c r="D10" s="1">
        <v>1</v>
      </c>
      <c r="E10" s="1">
        <v>1</v>
      </c>
      <c r="F10" s="1">
        <v>0.90480000000000005</v>
      </c>
      <c r="G10" s="1">
        <v>0.2676</v>
      </c>
      <c r="H10" s="1">
        <v>0.41299999999999998</v>
      </c>
      <c r="I10" s="1">
        <v>1</v>
      </c>
      <c r="J10" s="1">
        <v>0.77459999999999996</v>
      </c>
      <c r="K10" s="1">
        <v>0.873</v>
      </c>
      <c r="L10" s="1">
        <v>1</v>
      </c>
      <c r="M10" s="1">
        <v>1</v>
      </c>
      <c r="N10" s="1">
        <v>1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</row>
    <row r="13" spans="1:14" x14ac:dyDescent="0.3">
      <c r="A13">
        <v>11</v>
      </c>
      <c r="B13" t="s">
        <v>12</v>
      </c>
      <c r="C13" s="1">
        <v>0</v>
      </c>
      <c r="D13" s="1">
        <v>0</v>
      </c>
      <c r="E13" s="1">
        <v>0</v>
      </c>
      <c r="F13" s="1">
        <v>1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3">
      <c r="A14" s="5" t="s">
        <v>13</v>
      </c>
      <c r="B14" s="5"/>
      <c r="C14" s="4">
        <f>AVERAGE(C3:C13)</f>
        <v>0.43952727272727271</v>
      </c>
      <c r="D14" s="4">
        <f t="shared" ref="D14:N14" si="0">AVERAGE(D3:D13)</f>
        <v>0.4562272727272727</v>
      </c>
      <c r="E14" s="4">
        <f t="shared" si="0"/>
        <v>0.34971818181818182</v>
      </c>
      <c r="F14" s="4">
        <f t="shared" si="0"/>
        <v>0.37653636363636361</v>
      </c>
      <c r="G14" s="4">
        <f t="shared" si="0"/>
        <v>0.29870000000000002</v>
      </c>
      <c r="H14" s="4">
        <f t="shared" si="0"/>
        <v>0.28741818181818179</v>
      </c>
      <c r="I14" s="4">
        <f t="shared" si="0"/>
        <v>0.4207636363636364</v>
      </c>
      <c r="J14" s="4">
        <f t="shared" si="0"/>
        <v>0.52950000000000008</v>
      </c>
      <c r="K14" s="4">
        <f t="shared" si="0"/>
        <v>0.36990000000000001</v>
      </c>
      <c r="L14" s="4">
        <f t="shared" si="0"/>
        <v>0.43952727272727271</v>
      </c>
      <c r="M14" s="4">
        <f t="shared" si="0"/>
        <v>0.4562272727272727</v>
      </c>
      <c r="N14" s="4">
        <f t="shared" si="0"/>
        <v>0.34971818181818182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29D3-CBC9-47AB-BA75-E160A3C58BDF}">
  <dimension ref="A1:N14"/>
  <sheetViews>
    <sheetView workbookViewId="0">
      <selection activeCell="C14" sqref="C14:N14"/>
    </sheetView>
  </sheetViews>
  <sheetFormatPr defaultRowHeight="14.4" x14ac:dyDescent="0.3"/>
  <cols>
    <col min="2" max="2" width="48.21875" bestFit="1" customWidth="1"/>
  </cols>
  <sheetData>
    <row r="1" spans="1:14" x14ac:dyDescent="0.3">
      <c r="C1" s="5" t="s">
        <v>14</v>
      </c>
      <c r="D1" s="5"/>
      <c r="E1" s="5"/>
      <c r="F1" s="5" t="s">
        <v>15</v>
      </c>
      <c r="G1" s="5"/>
      <c r="H1" s="5"/>
      <c r="I1" s="5" t="s">
        <v>16</v>
      </c>
      <c r="J1" s="5"/>
      <c r="K1" s="5"/>
      <c r="L1" s="5" t="s">
        <v>17</v>
      </c>
      <c r="M1" s="5"/>
      <c r="N1" s="5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0.23530000000000001</v>
      </c>
      <c r="D3" s="1">
        <v>1</v>
      </c>
      <c r="E3" s="1">
        <v>0.38100000000000001</v>
      </c>
      <c r="F3" s="1">
        <v>0</v>
      </c>
      <c r="G3" s="1">
        <v>0</v>
      </c>
      <c r="H3" s="1">
        <v>0</v>
      </c>
      <c r="I3" s="1">
        <v>0.15379999999999999</v>
      </c>
      <c r="J3" s="1">
        <v>1</v>
      </c>
      <c r="K3" s="1">
        <v>0.26669999999999999</v>
      </c>
      <c r="L3" s="1">
        <v>0.18179999999999999</v>
      </c>
      <c r="M3" s="1">
        <v>1</v>
      </c>
      <c r="N3" s="1">
        <v>0.30769999999999997</v>
      </c>
    </row>
    <row r="4" spans="1:14" x14ac:dyDescent="0.3">
      <c r="A4">
        <v>2</v>
      </c>
      <c r="B4" t="s">
        <v>3</v>
      </c>
      <c r="C4" s="1">
        <v>0.23880000000000001</v>
      </c>
      <c r="D4" s="1">
        <v>0.66669999999999996</v>
      </c>
      <c r="E4" s="1">
        <v>0.35160000000000002</v>
      </c>
      <c r="F4" s="1">
        <v>0</v>
      </c>
      <c r="G4" s="1">
        <v>0</v>
      </c>
      <c r="H4" s="1">
        <v>0</v>
      </c>
      <c r="I4" s="1">
        <v>0.11269999999999999</v>
      </c>
      <c r="J4" s="1">
        <v>0.33329999999999999</v>
      </c>
      <c r="K4" s="1">
        <v>0.16839999999999999</v>
      </c>
      <c r="L4" s="1">
        <v>0.3478</v>
      </c>
      <c r="M4" s="1">
        <v>1</v>
      </c>
      <c r="N4" s="1">
        <v>0.5161</v>
      </c>
    </row>
    <row r="5" spans="1:14" x14ac:dyDescent="0.3">
      <c r="A5">
        <v>3</v>
      </c>
      <c r="B5" t="s">
        <v>4</v>
      </c>
      <c r="C5" s="1">
        <v>0.1111</v>
      </c>
      <c r="D5" s="1">
        <v>0.33329999999999999</v>
      </c>
      <c r="E5" s="1">
        <v>0.16669999999999999</v>
      </c>
      <c r="F5" s="1">
        <v>0</v>
      </c>
      <c r="G5" s="1">
        <v>0</v>
      </c>
      <c r="H5" s="1">
        <v>0</v>
      </c>
      <c r="I5" s="1">
        <v>0.125</v>
      </c>
      <c r="J5" s="1">
        <v>1</v>
      </c>
      <c r="K5" s="1">
        <v>0.22220000000000001</v>
      </c>
      <c r="L5" s="1">
        <v>2.9399999999999999E-2</v>
      </c>
      <c r="M5" s="1">
        <v>0.33329999999999999</v>
      </c>
      <c r="N5" s="1">
        <v>5.4100000000000002E-2</v>
      </c>
    </row>
    <row r="6" spans="1:14" x14ac:dyDescent="0.3">
      <c r="A6">
        <v>4</v>
      </c>
      <c r="B6" t="s">
        <v>5</v>
      </c>
      <c r="C6" s="1">
        <v>1</v>
      </c>
      <c r="D6" s="1">
        <v>1</v>
      </c>
      <c r="E6" s="1">
        <v>1</v>
      </c>
      <c r="F6" s="1">
        <v>0</v>
      </c>
      <c r="G6" s="1">
        <v>0</v>
      </c>
      <c r="H6" s="1">
        <v>0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</row>
    <row r="7" spans="1:14" x14ac:dyDescent="0.3">
      <c r="A7">
        <v>5</v>
      </c>
      <c r="B7" t="s">
        <v>6</v>
      </c>
      <c r="C7" s="1">
        <v>0.48780000000000001</v>
      </c>
      <c r="D7" s="1">
        <v>0.14599999999999999</v>
      </c>
      <c r="E7" s="1">
        <v>0.22470000000000001</v>
      </c>
      <c r="F7" s="1">
        <v>0</v>
      </c>
      <c r="G7" s="1">
        <v>0</v>
      </c>
      <c r="H7" s="1">
        <v>0</v>
      </c>
      <c r="I7" s="1">
        <v>0.32840000000000003</v>
      </c>
      <c r="J7" s="1">
        <v>0.16059999999999999</v>
      </c>
      <c r="K7" s="1">
        <v>0.2157</v>
      </c>
      <c r="L7" s="1">
        <v>0.46429999999999999</v>
      </c>
      <c r="M7" s="1">
        <v>9.4899999999999998E-2</v>
      </c>
      <c r="N7" s="1">
        <v>0.15759999999999999</v>
      </c>
    </row>
    <row r="8" spans="1:14" x14ac:dyDescent="0.3">
      <c r="A8">
        <v>6</v>
      </c>
      <c r="B8" t="s">
        <v>7</v>
      </c>
      <c r="C8" s="1">
        <v>0.93589999999999995</v>
      </c>
      <c r="D8" s="1">
        <v>7.1900000000000006E-2</v>
      </c>
      <c r="E8" s="1">
        <v>0.13350000000000001</v>
      </c>
      <c r="F8" s="1">
        <v>0</v>
      </c>
      <c r="G8" s="1">
        <v>0</v>
      </c>
      <c r="H8" s="1">
        <v>0</v>
      </c>
      <c r="I8" s="1">
        <v>0.95020000000000004</v>
      </c>
      <c r="J8" s="1">
        <v>0.376</v>
      </c>
      <c r="K8" s="1">
        <v>0.53879999999999995</v>
      </c>
      <c r="L8" s="1">
        <v>0.48649999999999999</v>
      </c>
      <c r="M8" s="1">
        <v>1.77E-2</v>
      </c>
      <c r="N8" s="1">
        <v>3.4200000000000001E-2</v>
      </c>
    </row>
    <row r="9" spans="1:14" x14ac:dyDescent="0.3">
      <c r="A9">
        <v>7</v>
      </c>
      <c r="B9" t="s">
        <v>8</v>
      </c>
      <c r="C9" s="1">
        <v>0.20430000000000001</v>
      </c>
      <c r="D9" s="1">
        <v>0.1348</v>
      </c>
      <c r="E9" s="1">
        <v>0.16239999999999999</v>
      </c>
      <c r="F9" s="1">
        <v>0</v>
      </c>
      <c r="G9" s="1">
        <v>0</v>
      </c>
      <c r="H9" s="1">
        <v>0</v>
      </c>
      <c r="I9" s="1">
        <v>0.15029999999999999</v>
      </c>
      <c r="J9" s="1">
        <v>0.18440000000000001</v>
      </c>
      <c r="K9" s="1">
        <v>0.1656</v>
      </c>
      <c r="L9" s="1">
        <v>0.17780000000000001</v>
      </c>
      <c r="M9" s="1">
        <v>5.67E-2</v>
      </c>
      <c r="N9" s="1">
        <v>8.5999999999999993E-2</v>
      </c>
    </row>
    <row r="10" spans="1:14" x14ac:dyDescent="0.3">
      <c r="A10">
        <v>8</v>
      </c>
      <c r="B10" t="s">
        <v>9</v>
      </c>
      <c r="C10" s="1">
        <v>1</v>
      </c>
      <c r="D10" s="1">
        <v>0.32119999999999999</v>
      </c>
      <c r="E10" s="1">
        <v>0.48620000000000002</v>
      </c>
      <c r="F10" s="1">
        <v>0</v>
      </c>
      <c r="G10" s="1">
        <v>0</v>
      </c>
      <c r="H10" s="1">
        <v>0</v>
      </c>
      <c r="I10" s="1">
        <v>0.3947</v>
      </c>
      <c r="J10" s="1">
        <v>0.1095</v>
      </c>
      <c r="K10" s="1">
        <v>0.1714</v>
      </c>
      <c r="L10" s="1">
        <v>0.72919999999999996</v>
      </c>
      <c r="M10" s="1">
        <v>0.2555</v>
      </c>
      <c r="N10" s="1">
        <v>0.37840000000000001</v>
      </c>
    </row>
    <row r="11" spans="1:14" x14ac:dyDescent="0.3">
      <c r="A11">
        <v>9</v>
      </c>
      <c r="B11" t="s">
        <v>10</v>
      </c>
      <c r="C11" s="1">
        <v>0.1053</v>
      </c>
      <c r="D11" s="1">
        <v>0.5</v>
      </c>
      <c r="E11" s="1">
        <v>0.1739</v>
      </c>
      <c r="F11" s="1">
        <v>0</v>
      </c>
      <c r="G11" s="1">
        <v>0</v>
      </c>
      <c r="H11" s="1">
        <v>0</v>
      </c>
      <c r="I11" s="1">
        <v>4.0500000000000001E-2</v>
      </c>
      <c r="J11" s="1">
        <v>0.58330000000000004</v>
      </c>
      <c r="K11" s="1">
        <v>7.5700000000000003E-2</v>
      </c>
      <c r="L11" s="1">
        <v>0.08</v>
      </c>
      <c r="M11" s="1">
        <v>0.16669999999999999</v>
      </c>
      <c r="N11" s="1">
        <v>0.1081</v>
      </c>
    </row>
    <row r="12" spans="1:14" x14ac:dyDescent="0.3">
      <c r="A12">
        <v>10</v>
      </c>
      <c r="B12" t="s">
        <v>11</v>
      </c>
      <c r="C12" s="1">
        <v>0</v>
      </c>
      <c r="D12" s="1">
        <v>0</v>
      </c>
      <c r="E12" s="1">
        <v>0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</row>
    <row r="13" spans="1:14" x14ac:dyDescent="0.3">
      <c r="A13">
        <v>11</v>
      </c>
      <c r="B13" t="s">
        <v>12</v>
      </c>
      <c r="C13" s="1">
        <v>0.46839999999999998</v>
      </c>
      <c r="D13" s="1">
        <v>0.57809999999999995</v>
      </c>
      <c r="E13" s="1">
        <v>0.51749999999999996</v>
      </c>
      <c r="F13" s="1">
        <v>0</v>
      </c>
      <c r="G13" s="1">
        <v>0</v>
      </c>
      <c r="H13" s="1">
        <v>0</v>
      </c>
      <c r="I13" s="1">
        <v>0.24890000000000001</v>
      </c>
      <c r="J13" s="1">
        <v>0.90629999999999999</v>
      </c>
      <c r="K13" s="1">
        <v>0.3906</v>
      </c>
      <c r="L13" s="1">
        <v>0.4</v>
      </c>
      <c r="M13" s="1">
        <v>0.21879999999999999</v>
      </c>
      <c r="N13" s="1">
        <v>0.2828</v>
      </c>
    </row>
    <row r="14" spans="1:14" x14ac:dyDescent="0.3">
      <c r="A14" s="5" t="s">
        <v>13</v>
      </c>
      <c r="B14" s="5"/>
      <c r="C14" s="4">
        <f>AVERAGE(C3:C13)</f>
        <v>0.43517272727272721</v>
      </c>
      <c r="D14" s="4">
        <f t="shared" ref="D14:N14" si="0">AVERAGE(D3:D13)</f>
        <v>0.432</v>
      </c>
      <c r="E14" s="4">
        <f t="shared" si="0"/>
        <v>0.32704545454545458</v>
      </c>
      <c r="F14" s="4">
        <f t="shared" si="0"/>
        <v>9.0909090909090912E-2</v>
      </c>
      <c r="G14" s="4">
        <f t="shared" si="0"/>
        <v>9.0909090909090912E-2</v>
      </c>
      <c r="H14" s="4">
        <f t="shared" si="0"/>
        <v>9.0909090909090912E-2</v>
      </c>
      <c r="I14" s="4">
        <f t="shared" si="0"/>
        <v>0.40950000000000003</v>
      </c>
      <c r="J14" s="4">
        <f t="shared" si="0"/>
        <v>0.60485454545454542</v>
      </c>
      <c r="K14" s="4">
        <f t="shared" si="0"/>
        <v>0.38319090909090908</v>
      </c>
      <c r="L14" s="4">
        <f t="shared" si="0"/>
        <v>0.44516363636363643</v>
      </c>
      <c r="M14" s="4">
        <f t="shared" si="0"/>
        <v>0.46760000000000002</v>
      </c>
      <c r="N14" s="4">
        <f t="shared" si="0"/>
        <v>0.35681818181818176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441C-5682-4F5C-B8CF-C2F8C5F0E58F}">
  <dimension ref="A1:N14"/>
  <sheetViews>
    <sheetView workbookViewId="0">
      <selection activeCell="C14" sqref="C14:N14"/>
    </sheetView>
  </sheetViews>
  <sheetFormatPr defaultRowHeight="14.4" x14ac:dyDescent="0.3"/>
  <cols>
    <col min="2" max="2" width="48.21875" bestFit="1" customWidth="1"/>
  </cols>
  <sheetData>
    <row r="1" spans="1:14" x14ac:dyDescent="0.3">
      <c r="C1" s="5" t="s">
        <v>14</v>
      </c>
      <c r="D1" s="5"/>
      <c r="E1" s="5"/>
      <c r="F1" s="5" t="s">
        <v>15</v>
      </c>
      <c r="G1" s="5"/>
      <c r="H1" s="5"/>
      <c r="I1" s="5" t="s">
        <v>16</v>
      </c>
      <c r="J1" s="5"/>
      <c r="K1" s="5"/>
      <c r="L1" s="5" t="s">
        <v>17</v>
      </c>
      <c r="M1" s="5"/>
      <c r="N1" s="5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1</v>
      </c>
      <c r="D3" s="1">
        <v>0.47060000000000002</v>
      </c>
      <c r="E3" s="1">
        <v>0.64</v>
      </c>
      <c r="F3" s="1">
        <v>8.3299999999999999E-2</v>
      </c>
      <c r="G3" s="1">
        <v>8.8200000000000001E-2</v>
      </c>
      <c r="H3" s="1">
        <v>8.5699999999999998E-2</v>
      </c>
      <c r="I3" s="1">
        <v>1</v>
      </c>
      <c r="J3" s="1">
        <v>1</v>
      </c>
      <c r="K3" s="1">
        <v>1</v>
      </c>
      <c r="L3" s="1">
        <v>0.97060000000000002</v>
      </c>
      <c r="M3" s="1">
        <v>0.97060000000000002</v>
      </c>
      <c r="N3" s="1">
        <v>0.97060000000000002</v>
      </c>
    </row>
    <row r="4" spans="1:14" x14ac:dyDescent="0.3">
      <c r="A4">
        <v>2</v>
      </c>
      <c r="B4" t="s">
        <v>3</v>
      </c>
      <c r="C4" s="1">
        <v>0.5</v>
      </c>
      <c r="D4" s="1">
        <v>0.13639999999999999</v>
      </c>
      <c r="E4" s="1">
        <v>0.21429999999999999</v>
      </c>
      <c r="F4" s="1">
        <v>0.29310000000000003</v>
      </c>
      <c r="G4" s="1">
        <v>9.6600000000000005E-2</v>
      </c>
      <c r="H4" s="1">
        <v>0.14530000000000001</v>
      </c>
      <c r="I4" s="1">
        <v>0.32500000000000001</v>
      </c>
      <c r="J4" s="1">
        <v>0.1477</v>
      </c>
      <c r="K4" s="1">
        <v>0.2031</v>
      </c>
      <c r="L4" s="1">
        <v>0.85</v>
      </c>
      <c r="M4" s="1">
        <v>0.38640000000000002</v>
      </c>
      <c r="N4" s="1">
        <v>0.53129999999999999</v>
      </c>
    </row>
    <row r="5" spans="1:14" x14ac:dyDescent="0.3">
      <c r="A5">
        <v>3</v>
      </c>
      <c r="B5" t="s">
        <v>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3.0300000000000001E-2</v>
      </c>
      <c r="J5" s="1">
        <v>0.5</v>
      </c>
      <c r="K5" s="1">
        <v>5.7099999999999998E-2</v>
      </c>
      <c r="L5" s="1">
        <v>0</v>
      </c>
      <c r="M5" s="1">
        <v>0</v>
      </c>
      <c r="N5" s="1">
        <v>0</v>
      </c>
    </row>
    <row r="6" spans="1:14" x14ac:dyDescent="0.3">
      <c r="A6">
        <v>4</v>
      </c>
      <c r="B6" t="s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">
      <c r="A7">
        <v>5</v>
      </c>
      <c r="B7" t="s">
        <v>6</v>
      </c>
      <c r="C7" s="1">
        <v>0.20749999999999999</v>
      </c>
      <c r="D7" s="1">
        <v>0.28210000000000002</v>
      </c>
      <c r="E7" s="1">
        <v>0.23910000000000001</v>
      </c>
      <c r="F7" s="1">
        <v>0.1429</v>
      </c>
      <c r="G7" s="1">
        <v>0.28210000000000002</v>
      </c>
      <c r="H7" s="1">
        <v>0.18970000000000001</v>
      </c>
      <c r="I7" s="1">
        <v>9.0899999999999995E-2</v>
      </c>
      <c r="J7" s="1">
        <v>0.2051</v>
      </c>
      <c r="K7" s="1">
        <v>0.126</v>
      </c>
      <c r="L7" s="1">
        <v>0.42220000000000002</v>
      </c>
      <c r="M7" s="1">
        <v>0.48720000000000002</v>
      </c>
      <c r="N7" s="1">
        <v>0.45240000000000002</v>
      </c>
    </row>
    <row r="8" spans="1:14" x14ac:dyDescent="0.3">
      <c r="A8">
        <v>6</v>
      </c>
      <c r="B8" t="s">
        <v>7</v>
      </c>
      <c r="C8" s="1">
        <v>0.78849999999999998</v>
      </c>
      <c r="D8" s="1">
        <v>0.1105</v>
      </c>
      <c r="E8" s="1">
        <v>0.19389999999999999</v>
      </c>
      <c r="F8" s="1">
        <v>0.35199999999999998</v>
      </c>
      <c r="G8" s="1">
        <v>0.1186</v>
      </c>
      <c r="H8" s="1">
        <v>0.1774</v>
      </c>
      <c r="I8" s="1">
        <v>0.88119999999999998</v>
      </c>
      <c r="J8" s="1">
        <v>1</v>
      </c>
      <c r="K8" s="1">
        <v>0.93689999999999996</v>
      </c>
      <c r="L8" s="1">
        <v>0.40910000000000002</v>
      </c>
      <c r="M8" s="1">
        <v>4.8500000000000001E-2</v>
      </c>
      <c r="N8" s="1">
        <v>8.6699999999999999E-2</v>
      </c>
    </row>
    <row r="9" spans="1:14" x14ac:dyDescent="0.3">
      <c r="A9">
        <v>7</v>
      </c>
      <c r="B9" t="s">
        <v>8</v>
      </c>
      <c r="C9" s="1">
        <v>1</v>
      </c>
      <c r="D9" s="1">
        <v>0.4471</v>
      </c>
      <c r="E9" s="1">
        <v>0.6179</v>
      </c>
      <c r="F9" s="1">
        <v>0.26740000000000003</v>
      </c>
      <c r="G9" s="1">
        <v>0.27060000000000001</v>
      </c>
      <c r="H9" s="1">
        <v>0.26900000000000002</v>
      </c>
      <c r="I9" s="1">
        <v>1</v>
      </c>
      <c r="J9" s="1">
        <v>0.85880000000000001</v>
      </c>
      <c r="K9" s="1">
        <v>0.92410000000000003</v>
      </c>
      <c r="L9" s="1">
        <v>1</v>
      </c>
      <c r="M9" s="1">
        <v>0.50590000000000002</v>
      </c>
      <c r="N9" s="1">
        <v>0.67190000000000005</v>
      </c>
    </row>
    <row r="10" spans="1:14" x14ac:dyDescent="0.3">
      <c r="A10">
        <v>8</v>
      </c>
      <c r="B10" t="s">
        <v>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</row>
    <row r="13" spans="1:14" x14ac:dyDescent="0.3">
      <c r="A13">
        <v>11</v>
      </c>
      <c r="B13" t="s">
        <v>12</v>
      </c>
      <c r="C13" s="1">
        <v>0.16980000000000001</v>
      </c>
      <c r="D13" s="1">
        <v>0.40910000000000002</v>
      </c>
      <c r="E13" s="1">
        <v>0.24</v>
      </c>
      <c r="F13" s="1">
        <v>0.1154</v>
      </c>
      <c r="G13" s="1">
        <v>0.2727</v>
      </c>
      <c r="H13" s="1">
        <v>0.16220000000000001</v>
      </c>
      <c r="I13" s="1">
        <v>9.4799999999999995E-2</v>
      </c>
      <c r="J13" s="1">
        <v>0.90910000000000002</v>
      </c>
      <c r="K13" s="1">
        <v>0.17169999999999999</v>
      </c>
      <c r="L13" s="1">
        <v>0.1042</v>
      </c>
      <c r="M13" s="1">
        <v>0.2273</v>
      </c>
      <c r="N13" s="1">
        <v>0.1429</v>
      </c>
    </row>
    <row r="14" spans="1:14" x14ac:dyDescent="0.3">
      <c r="A14" s="5" t="s">
        <v>13</v>
      </c>
      <c r="B14" s="5"/>
      <c r="C14" s="4">
        <f>AVERAGE(C3:C13)</f>
        <v>0.33325454545454547</v>
      </c>
      <c r="D14" s="4">
        <f t="shared" ref="D14:N14" si="0">AVERAGE(D3:D13)</f>
        <v>0.16870909090909092</v>
      </c>
      <c r="E14" s="4">
        <f t="shared" si="0"/>
        <v>0.19501818181818181</v>
      </c>
      <c r="F14" s="4">
        <f t="shared" si="0"/>
        <v>0.11400909090909091</v>
      </c>
      <c r="G14" s="4">
        <f t="shared" si="0"/>
        <v>0.10261818181818182</v>
      </c>
      <c r="H14" s="4">
        <f t="shared" si="0"/>
        <v>9.357272727272728E-2</v>
      </c>
      <c r="I14" s="4">
        <f t="shared" si="0"/>
        <v>0.40201818181818183</v>
      </c>
      <c r="J14" s="4">
        <f t="shared" si="0"/>
        <v>0.51097272727272736</v>
      </c>
      <c r="K14" s="4">
        <f t="shared" si="0"/>
        <v>0.40171818181818186</v>
      </c>
      <c r="L14" s="4">
        <f t="shared" si="0"/>
        <v>0.43237272727272719</v>
      </c>
      <c r="M14" s="4">
        <f t="shared" si="0"/>
        <v>0.32962727272727271</v>
      </c>
      <c r="N14" s="4">
        <f t="shared" si="0"/>
        <v>0.35052727272727274</v>
      </c>
    </row>
  </sheetData>
  <mergeCells count="5">
    <mergeCell ref="A14:B14"/>
    <mergeCell ref="C1:E1"/>
    <mergeCell ref="F1:H1"/>
    <mergeCell ref="I1:K1"/>
    <mergeCell ref="L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99A6-2FF9-4A40-B758-4B0E730928B4}">
  <dimension ref="A2:M23"/>
  <sheetViews>
    <sheetView tabSelected="1" workbookViewId="0">
      <selection activeCell="A4" sqref="A4:M8"/>
    </sheetView>
  </sheetViews>
  <sheetFormatPr defaultRowHeight="14.4" x14ac:dyDescent="0.3"/>
  <sheetData>
    <row r="2" spans="1:13" x14ac:dyDescent="0.3">
      <c r="A2" s="2"/>
      <c r="B2" s="6" t="s">
        <v>14</v>
      </c>
      <c r="C2" s="6"/>
      <c r="D2" s="6"/>
      <c r="E2" s="6" t="s">
        <v>15</v>
      </c>
      <c r="F2" s="6"/>
      <c r="G2" s="6"/>
      <c r="H2" s="6" t="s">
        <v>16</v>
      </c>
      <c r="I2" s="6"/>
      <c r="J2" s="6"/>
      <c r="K2" s="6" t="s">
        <v>17</v>
      </c>
      <c r="L2" s="6"/>
      <c r="M2" s="6"/>
    </row>
    <row r="3" spans="1:13" x14ac:dyDescent="0.3">
      <c r="A3" s="2"/>
      <c r="B3" s="2" t="s">
        <v>18</v>
      </c>
      <c r="C3" s="2" t="s">
        <v>19</v>
      </c>
      <c r="D3" s="2" t="s">
        <v>20</v>
      </c>
      <c r="E3" s="2" t="s">
        <v>18</v>
      </c>
      <c r="F3" s="2" t="s">
        <v>19</v>
      </c>
      <c r="G3" s="2" t="s">
        <v>20</v>
      </c>
      <c r="H3" s="2" t="s">
        <v>18</v>
      </c>
      <c r="I3" s="2" t="s">
        <v>19</v>
      </c>
      <c r="J3" s="2" t="s">
        <v>20</v>
      </c>
      <c r="K3" s="2" t="s">
        <v>18</v>
      </c>
      <c r="L3" s="2" t="s">
        <v>19</v>
      </c>
      <c r="M3" s="2" t="s">
        <v>20</v>
      </c>
    </row>
    <row r="4" spans="1:13" x14ac:dyDescent="0.3">
      <c r="A4" s="2" t="s">
        <v>21</v>
      </c>
      <c r="B4" s="3">
        <f>Blibli!C14</f>
        <v>0.19315454545454544</v>
      </c>
      <c r="C4" s="3">
        <f>Blibli!D14</f>
        <v>0.38558181818181814</v>
      </c>
      <c r="D4" s="3">
        <f>Blibli!E14</f>
        <v>0.17929090909090908</v>
      </c>
      <c r="E4" s="3">
        <f>Blibli!F14</f>
        <v>0.17136363636363636</v>
      </c>
      <c r="F4" s="3">
        <f>Blibli!G14</f>
        <v>0.45629090909090908</v>
      </c>
      <c r="G4" s="3">
        <f>Blibli!H14</f>
        <v>0.19950909090909089</v>
      </c>
      <c r="H4" s="3">
        <f>Blibli!I14</f>
        <v>0.18528181818181819</v>
      </c>
      <c r="I4" s="3">
        <f>Blibli!J14</f>
        <v>0.37126363636363635</v>
      </c>
      <c r="J4" s="3">
        <f>Blibli!K14</f>
        <v>0.15907272727272728</v>
      </c>
      <c r="K4" s="3">
        <f>Blibli!L14</f>
        <v>0.36073636363636363</v>
      </c>
      <c r="L4" s="3">
        <f>Blibli!M14</f>
        <v>0.49080909090909086</v>
      </c>
      <c r="M4" s="3">
        <f>Blibli!N14</f>
        <v>0.32277272727272727</v>
      </c>
    </row>
    <row r="5" spans="1:13" x14ac:dyDescent="0.3">
      <c r="A5" s="2" t="s">
        <v>22</v>
      </c>
      <c r="B5" s="3">
        <f>Lazada!C14</f>
        <v>0.43952727272727271</v>
      </c>
      <c r="C5" s="3">
        <f>Lazada!D14</f>
        <v>0.4562272727272727</v>
      </c>
      <c r="D5" s="3">
        <f>Lazada!E14</f>
        <v>0.34971818181818182</v>
      </c>
      <c r="E5" s="3">
        <f>Lazada!F14</f>
        <v>0.37653636363636361</v>
      </c>
      <c r="F5" s="3">
        <f>Lazada!G14</f>
        <v>0.29870000000000002</v>
      </c>
      <c r="G5" s="3">
        <f>Lazada!H14</f>
        <v>0.28741818181818179</v>
      </c>
      <c r="H5" s="3">
        <f>Lazada!I14</f>
        <v>0.4207636363636364</v>
      </c>
      <c r="I5" s="3">
        <f>Lazada!J14</f>
        <v>0.52950000000000008</v>
      </c>
      <c r="J5" s="3">
        <f>Lazada!K14</f>
        <v>0.36990000000000001</v>
      </c>
      <c r="K5" s="3">
        <f>Lazada!L14</f>
        <v>0.43952727272727271</v>
      </c>
      <c r="L5" s="3">
        <f>Lazada!M14</f>
        <v>0.4562272727272727</v>
      </c>
      <c r="M5" s="3">
        <f>Lazada!N14</f>
        <v>0.34971818181818182</v>
      </c>
    </row>
    <row r="6" spans="1:13" x14ac:dyDescent="0.3">
      <c r="A6" s="2" t="s">
        <v>23</v>
      </c>
      <c r="B6" s="3">
        <f>Shopee!C14</f>
        <v>0.43517272727272721</v>
      </c>
      <c r="C6" s="3">
        <f>Shopee!D14</f>
        <v>0.432</v>
      </c>
      <c r="D6" s="3">
        <f>Shopee!E14</f>
        <v>0.32704545454545458</v>
      </c>
      <c r="E6" s="3">
        <f>Shopee!F14</f>
        <v>9.0909090909090912E-2</v>
      </c>
      <c r="F6" s="3">
        <f>Shopee!G14</f>
        <v>9.0909090909090912E-2</v>
      </c>
      <c r="G6" s="3">
        <f>Shopee!H14</f>
        <v>9.0909090909090912E-2</v>
      </c>
      <c r="H6" s="3">
        <f>Shopee!I14</f>
        <v>0.40950000000000003</v>
      </c>
      <c r="I6" s="3">
        <f>Shopee!J14</f>
        <v>0.60485454545454542</v>
      </c>
      <c r="J6" s="3">
        <f>Shopee!K14</f>
        <v>0.38319090909090908</v>
      </c>
      <c r="K6" s="3">
        <f>Shopee!L14</f>
        <v>0.44516363636363643</v>
      </c>
      <c r="L6" s="3">
        <f>Shopee!M14</f>
        <v>0.46760000000000002</v>
      </c>
      <c r="M6" s="3">
        <f>Shopee!N14</f>
        <v>0.35681818181818176</v>
      </c>
    </row>
    <row r="7" spans="1:13" x14ac:dyDescent="0.3">
      <c r="A7" s="2" t="s">
        <v>24</v>
      </c>
      <c r="B7" s="3">
        <f>Zalora!C14</f>
        <v>0.33325454545454547</v>
      </c>
      <c r="C7" s="3">
        <f>Zalora!D14</f>
        <v>0.16870909090909092</v>
      </c>
      <c r="D7" s="3">
        <f>Zalora!E14</f>
        <v>0.19501818181818181</v>
      </c>
      <c r="E7" s="3">
        <f>Zalora!F14</f>
        <v>0.11400909090909091</v>
      </c>
      <c r="F7" s="3">
        <f>Zalora!G14</f>
        <v>0.10261818181818182</v>
      </c>
      <c r="G7" s="3">
        <f>Zalora!H14</f>
        <v>9.357272727272728E-2</v>
      </c>
      <c r="H7" s="3">
        <f>Zalora!I14</f>
        <v>0.40201818181818183</v>
      </c>
      <c r="I7" s="3">
        <f>Zalora!J14</f>
        <v>0.51097272727272736</v>
      </c>
      <c r="J7" s="3">
        <f>Zalora!K14</f>
        <v>0.40171818181818186</v>
      </c>
      <c r="K7" s="3">
        <f>Zalora!L14</f>
        <v>0.43237272727272719</v>
      </c>
      <c r="L7" s="3">
        <f>Zalora!M14</f>
        <v>0.32962727272727271</v>
      </c>
      <c r="M7" s="3">
        <f>Zalora!N14</f>
        <v>0.35052727272727274</v>
      </c>
    </row>
    <row r="8" spans="1:13" x14ac:dyDescent="0.3">
      <c r="A8" s="2" t="s">
        <v>25</v>
      </c>
      <c r="B8" s="3">
        <f>AVERAGE(B4:B7)</f>
        <v>0.35027727272727271</v>
      </c>
      <c r="C8" s="3">
        <f t="shared" ref="C8:M8" si="0">AVERAGE(C4:C7)</f>
        <v>0.36062954545454545</v>
      </c>
      <c r="D8" s="3">
        <f t="shared" si="0"/>
        <v>0.26276818181818179</v>
      </c>
      <c r="E8" s="3">
        <f t="shared" si="0"/>
        <v>0.18820454545454546</v>
      </c>
      <c r="F8" s="3">
        <f t="shared" si="0"/>
        <v>0.23712954545454545</v>
      </c>
      <c r="G8" s="3">
        <f t="shared" si="0"/>
        <v>0.16785227272727271</v>
      </c>
      <c r="H8" s="3">
        <f t="shared" si="0"/>
        <v>0.35439090909090909</v>
      </c>
      <c r="I8" s="3">
        <f t="shared" si="0"/>
        <v>0.50414772727272728</v>
      </c>
      <c r="J8" s="3">
        <f t="shared" si="0"/>
        <v>0.32847045454545454</v>
      </c>
      <c r="K8" s="3">
        <f t="shared" si="0"/>
        <v>0.41944999999999999</v>
      </c>
      <c r="L8" s="3">
        <f t="shared" si="0"/>
        <v>0.43606590909090903</v>
      </c>
      <c r="M8" s="3">
        <f t="shared" si="0"/>
        <v>0.34495909090909088</v>
      </c>
    </row>
    <row r="9" spans="1:13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9" spans="1:13" x14ac:dyDescent="0.3">
      <c r="A19" s="2"/>
      <c r="B19" s="6" t="s">
        <v>14</v>
      </c>
      <c r="C19" s="6"/>
      <c r="D19" s="6"/>
      <c r="E19" s="6" t="s">
        <v>15</v>
      </c>
      <c r="F19" s="6"/>
      <c r="G19" s="6"/>
      <c r="H19" s="6" t="s">
        <v>16</v>
      </c>
      <c r="I19" s="6"/>
      <c r="J19" s="6"/>
      <c r="K19" s="6" t="s">
        <v>17</v>
      </c>
      <c r="L19" s="6"/>
      <c r="M19" s="6"/>
    </row>
    <row r="20" spans="1:13" x14ac:dyDescent="0.3">
      <c r="A20" s="2"/>
      <c r="B20" s="2" t="s">
        <v>18</v>
      </c>
      <c r="C20" s="2" t="s">
        <v>19</v>
      </c>
      <c r="D20" s="2" t="s">
        <v>20</v>
      </c>
      <c r="E20" s="2" t="s">
        <v>18</v>
      </c>
      <c r="F20" s="2" t="s">
        <v>19</v>
      </c>
      <c r="G20" s="2" t="s">
        <v>20</v>
      </c>
      <c r="H20" s="2" t="s">
        <v>18</v>
      </c>
      <c r="I20" s="2" t="s">
        <v>19</v>
      </c>
      <c r="J20" s="2" t="s">
        <v>20</v>
      </c>
      <c r="K20" s="2" t="s">
        <v>18</v>
      </c>
      <c r="L20" s="2" t="s">
        <v>19</v>
      </c>
      <c r="M20" s="2" t="s">
        <v>20</v>
      </c>
    </row>
    <row r="21" spans="1:13" x14ac:dyDescent="0.3">
      <c r="A21" s="2" t="s">
        <v>21</v>
      </c>
      <c r="B21" s="3">
        <v>0.19315454545454544</v>
      </c>
      <c r="C21" s="3">
        <v>0.38558181818181814</v>
      </c>
      <c r="D21" s="3">
        <v>0.17929090909090908</v>
      </c>
      <c r="E21" s="3">
        <v>0.17136363636363636</v>
      </c>
      <c r="F21" s="3">
        <v>0.45629090909090908</v>
      </c>
      <c r="G21" s="3">
        <v>0.19950909090909089</v>
      </c>
      <c r="H21" s="3">
        <v>0.18528181818181819</v>
      </c>
      <c r="I21" s="3">
        <v>0.37126363636363635</v>
      </c>
      <c r="J21" s="3">
        <v>0.15907272727272728</v>
      </c>
      <c r="K21" s="3">
        <v>0.36073636363636363</v>
      </c>
      <c r="L21" s="3">
        <v>0.49080909090909086</v>
      </c>
      <c r="M21" s="3">
        <v>0.32277272727272727</v>
      </c>
    </row>
    <row r="22" spans="1:13" x14ac:dyDescent="0.3">
      <c r="A22" s="2" t="s">
        <v>22</v>
      </c>
      <c r="B22" s="3">
        <v>0.43952727272727271</v>
      </c>
      <c r="C22" s="3">
        <v>0.4562272727272727</v>
      </c>
      <c r="D22" s="3">
        <v>0.34971818181818182</v>
      </c>
      <c r="E22" s="3">
        <v>0.37653636363636361</v>
      </c>
      <c r="F22" s="3">
        <v>0.29870000000000002</v>
      </c>
      <c r="G22" s="3">
        <v>0.28741818181818179</v>
      </c>
      <c r="H22" s="3">
        <v>0.4207636363636364</v>
      </c>
      <c r="I22" s="3">
        <v>0.52950000000000008</v>
      </c>
      <c r="J22" s="3">
        <v>0.36990000000000001</v>
      </c>
      <c r="K22" s="3">
        <v>0.43952727272727271</v>
      </c>
      <c r="L22" s="3">
        <v>0.4562272727272727</v>
      </c>
      <c r="M22" s="3">
        <v>0.34971818181818182</v>
      </c>
    </row>
    <row r="23" spans="1:13" x14ac:dyDescent="0.3">
      <c r="A23" t="s">
        <v>25</v>
      </c>
      <c r="B23" s="4">
        <f>AVERAGE(B21:B22)</f>
        <v>0.31634090909090906</v>
      </c>
      <c r="C23" s="4">
        <f t="shared" ref="C23:M23" si="1">AVERAGE(C21:C22)</f>
        <v>0.42090454545454542</v>
      </c>
      <c r="D23" s="4">
        <f t="shared" si="1"/>
        <v>0.26450454545454544</v>
      </c>
      <c r="E23" s="4">
        <f t="shared" si="1"/>
        <v>0.27394999999999997</v>
      </c>
      <c r="F23" s="4">
        <f t="shared" si="1"/>
        <v>0.37749545454545452</v>
      </c>
      <c r="G23" s="4">
        <f t="shared" si="1"/>
        <v>0.24346363636363633</v>
      </c>
      <c r="H23" s="4">
        <f t="shared" si="1"/>
        <v>0.30302272727272728</v>
      </c>
      <c r="I23" s="4">
        <f t="shared" si="1"/>
        <v>0.45038181818181822</v>
      </c>
      <c r="J23" s="4">
        <f t="shared" si="1"/>
        <v>0.26448636363636363</v>
      </c>
      <c r="K23" s="4">
        <f t="shared" si="1"/>
        <v>0.4001318181818182</v>
      </c>
      <c r="L23" s="4">
        <f t="shared" si="1"/>
        <v>0.47351818181818178</v>
      </c>
      <c r="M23" s="4">
        <f t="shared" si="1"/>
        <v>0.33624545454545451</v>
      </c>
    </row>
  </sheetData>
  <mergeCells count="8">
    <mergeCell ref="B2:D2"/>
    <mergeCell ref="E2:G2"/>
    <mergeCell ref="H2:J2"/>
    <mergeCell ref="K2:M2"/>
    <mergeCell ref="B19:D19"/>
    <mergeCell ref="E19:G19"/>
    <mergeCell ref="H19:J19"/>
    <mergeCell ref="K19:M19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Blibli</vt:lpstr>
      <vt:lpstr>Lazada</vt:lpstr>
      <vt:lpstr>Shopee</vt:lpstr>
      <vt:lpstr>Zalora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ARNEAL OCTORA</dc:creator>
  <cp:lastModifiedBy>VERO ARNEAL OCTORA</cp:lastModifiedBy>
  <dcterms:created xsi:type="dcterms:W3CDTF">2025-12-13T07:04:31Z</dcterms:created>
  <dcterms:modified xsi:type="dcterms:W3CDTF">2025-12-29T02:58:19Z</dcterms:modified>
</cp:coreProperties>
</file>